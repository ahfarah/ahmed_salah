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l Project\Excel Project\macro\"/>
    </mc:Choice>
  </mc:AlternateContent>
  <xr:revisionPtr revIDLastSave="0" documentId="13_ncr:1_{5DB09A22-6903-421E-A69A-985214281589}" xr6:coauthVersionLast="47" xr6:coauthVersionMax="47" xr10:uidLastSave="{00000000-0000-0000-0000-000000000000}"/>
  <bookViews>
    <workbookView xWindow="-108" yWindow="-108" windowWidth="23256" windowHeight="12456" tabRatio="683" activeTab="2" xr2:uid="{00000000-000D-0000-FFFF-FFFF00000000}"/>
  </bookViews>
  <sheets>
    <sheet name="Schedule" sheetId="1" r:id="rId1"/>
    <sheet name="swap" sheetId="27" r:id="rId2"/>
    <sheet name="filter" sheetId="28" r:id="rId3"/>
    <sheet name="Required" sheetId="18" state="hidden" r:id="rId4"/>
  </sheets>
  <definedNames>
    <definedName name="_xlnm._FilterDatabase" localSheetId="3" hidden="1">Required!$A$1:$H$97</definedName>
    <definedName name="_xlnm._FilterDatabase" localSheetId="0" hidden="1">Schedule!$A$2:$S$48</definedName>
    <definedName name="_xlnm.Print_Area" localSheetId="0">Schedule!$B$1:$V$40</definedName>
    <definedName name="su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7" l="1" a="1"/>
  <c r="B15" i="27" s="1"/>
  <c r="B14" i="27" a="1"/>
  <c r="B14" i="27" s="1"/>
  <c r="D14" i="27"/>
  <c r="C14" i="27" s="1" a="1"/>
  <c r="C14" i="27" s="1"/>
  <c r="D15" i="27"/>
  <c r="C15" i="27" s="1" a="1"/>
  <c r="C15" i="27" s="1"/>
  <c r="E15" i="27"/>
  <c r="E14" i="27"/>
  <c r="A1" i="1"/>
  <c r="A4" i="1"/>
  <c r="A5" i="1"/>
  <c r="A6" i="1"/>
  <c r="A7" i="1"/>
  <c r="A8" i="1"/>
  <c r="A9" i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4" i="1" s="1"/>
  <c r="A23" i="1" s="1"/>
  <c r="A29" i="1" s="1"/>
  <c r="A25" i="1" s="1"/>
  <c r="A26" i="1" s="1"/>
  <c r="A22" i="1" s="1"/>
  <c r="A28" i="1" s="1"/>
  <c r="A30" i="1" s="1"/>
  <c r="A31" i="1" s="1"/>
  <c r="A27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G13" i="27" l="1"/>
  <c r="K56" i="1" l="1"/>
  <c r="L56" i="1"/>
  <c r="M56" i="1"/>
  <c r="N56" i="1"/>
  <c r="O56" i="1"/>
  <c r="P56" i="1"/>
  <c r="Q56" i="1"/>
  <c r="L62" i="1"/>
  <c r="M62" i="1"/>
  <c r="N62" i="1"/>
  <c r="O62" i="1"/>
  <c r="P62" i="1"/>
  <c r="Q62" i="1"/>
  <c r="L63" i="1"/>
  <c r="M63" i="1"/>
  <c r="N63" i="1"/>
  <c r="O63" i="1"/>
  <c r="P63" i="1"/>
  <c r="Q63" i="1"/>
  <c r="L64" i="1"/>
  <c r="M64" i="1"/>
  <c r="N64" i="1"/>
  <c r="O64" i="1"/>
  <c r="P64" i="1"/>
  <c r="Q64" i="1"/>
  <c r="L65" i="1"/>
  <c r="M65" i="1"/>
  <c r="N65" i="1"/>
  <c r="O65" i="1"/>
  <c r="P65" i="1"/>
  <c r="Q65" i="1"/>
  <c r="K65" i="1"/>
  <c r="K64" i="1"/>
  <c r="K63" i="1"/>
  <c r="K62" i="1"/>
  <c r="K58" i="1"/>
  <c r="L54" i="1"/>
  <c r="M54" i="1"/>
  <c r="N54" i="1"/>
  <c r="O54" i="1"/>
  <c r="P54" i="1"/>
  <c r="Q54" i="1"/>
  <c r="L55" i="1"/>
  <c r="M55" i="1"/>
  <c r="N55" i="1"/>
  <c r="O55" i="1"/>
  <c r="P55" i="1"/>
  <c r="L57" i="1"/>
  <c r="M57" i="1"/>
  <c r="N57" i="1"/>
  <c r="O57" i="1"/>
  <c r="P57" i="1"/>
  <c r="Q57" i="1"/>
  <c r="L58" i="1"/>
  <c r="M58" i="1"/>
  <c r="N58" i="1"/>
  <c r="O58" i="1"/>
  <c r="P58" i="1"/>
  <c r="Q58" i="1"/>
  <c r="L59" i="1"/>
  <c r="M59" i="1"/>
  <c r="N59" i="1"/>
  <c r="O59" i="1"/>
  <c r="P59" i="1"/>
  <c r="Q59" i="1"/>
  <c r="L60" i="1"/>
  <c r="M60" i="1"/>
  <c r="N60" i="1"/>
  <c r="O60" i="1"/>
  <c r="P60" i="1"/>
  <c r="Q60" i="1"/>
  <c r="K55" i="1"/>
  <c r="K57" i="1"/>
  <c r="K59" i="1"/>
  <c r="K60" i="1"/>
  <c r="K54" i="1"/>
  <c r="K61" i="1" l="1"/>
  <c r="C10" i="18"/>
  <c r="C11" i="18" s="1"/>
  <c r="D10" i="18"/>
  <c r="D11" i="18" s="1"/>
  <c r="E10" i="18"/>
  <c r="E11" i="18" s="1"/>
  <c r="F10" i="18"/>
  <c r="F11" i="18" s="1"/>
  <c r="H10" i="18"/>
  <c r="H11" i="18" s="1"/>
  <c r="C12" i="18"/>
  <c r="C13" i="18" s="1"/>
  <c r="D12" i="18"/>
  <c r="E12" i="18"/>
  <c r="E13" i="18" s="1"/>
  <c r="F12" i="18"/>
  <c r="H12" i="18"/>
  <c r="H13" i="18" s="1"/>
  <c r="D13" i="18"/>
  <c r="F13" i="18"/>
  <c r="C14" i="18"/>
  <c r="D14" i="18"/>
  <c r="E14" i="18"/>
  <c r="E15" i="18" s="1"/>
  <c r="F14" i="18"/>
  <c r="F15" i="18" s="1"/>
  <c r="H14" i="18"/>
  <c r="H15" i="18" s="1"/>
  <c r="C15" i="18"/>
  <c r="D15" i="18"/>
  <c r="C16" i="18"/>
  <c r="C17" i="18" s="1"/>
  <c r="D16" i="18"/>
  <c r="E16" i="18"/>
  <c r="E17" i="18" s="1"/>
  <c r="F16" i="18"/>
  <c r="F17" i="18" s="1"/>
  <c r="H16" i="18"/>
  <c r="H17" i="18" s="1"/>
  <c r="D17" i="18"/>
  <c r="C18" i="18"/>
  <c r="C19" i="18" s="1"/>
  <c r="D18" i="18"/>
  <c r="D19" i="18" s="1"/>
  <c r="E18" i="18"/>
  <c r="E19" i="18" s="1"/>
  <c r="F18" i="18"/>
  <c r="F19" i="18" s="1"/>
  <c r="G18" i="18"/>
  <c r="G19" i="18" s="1"/>
  <c r="H18" i="18"/>
  <c r="H19" i="18" s="1"/>
  <c r="C20" i="18"/>
  <c r="D20" i="18"/>
  <c r="D21" i="18" s="1"/>
  <c r="E20" i="18"/>
  <c r="E21" i="18" s="1"/>
  <c r="F20" i="18"/>
  <c r="F21" i="18" s="1"/>
  <c r="G20" i="18"/>
  <c r="G21" i="18" s="1"/>
  <c r="H20" i="18"/>
  <c r="H21" i="18" s="1"/>
  <c r="C21" i="18"/>
  <c r="C22" i="18"/>
  <c r="C23" i="18" s="1"/>
  <c r="D22" i="18"/>
  <c r="D23" i="18" s="1"/>
  <c r="E22" i="18"/>
  <c r="E23" i="18" s="1"/>
  <c r="F22" i="18"/>
  <c r="F23" i="18" s="1"/>
  <c r="G22" i="18"/>
  <c r="G23" i="18" s="1"/>
  <c r="H22" i="18"/>
  <c r="H23" i="18" s="1"/>
  <c r="C24" i="18"/>
  <c r="C25" i="18" s="1"/>
  <c r="D24" i="18"/>
  <c r="D25" i="18" s="1"/>
  <c r="E24" i="18"/>
  <c r="E25" i="18" s="1"/>
  <c r="F24" i="18"/>
  <c r="F25" i="18" s="1"/>
  <c r="G24" i="18"/>
  <c r="G25" i="18" s="1"/>
  <c r="H24" i="18"/>
  <c r="H25" i="18" s="1"/>
  <c r="C26" i="18"/>
  <c r="D26" i="18"/>
  <c r="D27" i="18" s="1"/>
  <c r="E26" i="18"/>
  <c r="E27" i="18" s="1"/>
  <c r="F26" i="18"/>
  <c r="F27" i="18" s="1"/>
  <c r="G26" i="18"/>
  <c r="G27" i="18" s="1"/>
  <c r="H26" i="18"/>
  <c r="H27" i="18" s="1"/>
  <c r="C27" i="18"/>
  <c r="C28" i="18"/>
  <c r="C29" i="18" s="1"/>
  <c r="D28" i="18"/>
  <c r="D29" i="18" s="1"/>
  <c r="E28" i="18"/>
  <c r="E29" i="18" s="1"/>
  <c r="F28" i="18"/>
  <c r="G28" i="18"/>
  <c r="H28" i="18"/>
  <c r="H29" i="18" s="1"/>
  <c r="F29" i="18"/>
  <c r="G29" i="18"/>
  <c r="C30" i="18"/>
  <c r="D30" i="18"/>
  <c r="D31" i="18" s="1"/>
  <c r="E30" i="18"/>
  <c r="E31" i="18" s="1"/>
  <c r="F30" i="18"/>
  <c r="F31" i="18" s="1"/>
  <c r="G30" i="18"/>
  <c r="G31" i="18" s="1"/>
  <c r="H30" i="18"/>
  <c r="H31" i="18" s="1"/>
  <c r="C31" i="18"/>
  <c r="C32" i="18"/>
  <c r="C33" i="18" s="1"/>
  <c r="D32" i="18"/>
  <c r="D33" i="18" s="1"/>
  <c r="E32" i="18"/>
  <c r="E33" i="18" s="1"/>
  <c r="F32" i="18"/>
  <c r="F33" i="18" s="1"/>
  <c r="G32" i="18"/>
  <c r="G33" i="18" s="1"/>
  <c r="H32" i="18"/>
  <c r="H33" i="18" s="1"/>
  <c r="C34" i="18"/>
  <c r="C35" i="18" s="1"/>
  <c r="D34" i="18"/>
  <c r="D35" i="18" s="1"/>
  <c r="E34" i="18"/>
  <c r="E35" i="18" s="1"/>
  <c r="F34" i="18"/>
  <c r="F35" i="18" s="1"/>
  <c r="G34" i="18"/>
  <c r="G35" i="18" s="1"/>
  <c r="H34" i="18"/>
  <c r="H35" i="18"/>
  <c r="C36" i="18"/>
  <c r="C37" i="18" s="1"/>
  <c r="D36" i="18"/>
  <c r="D37" i="18" s="1"/>
  <c r="E36" i="18"/>
  <c r="E37" i="18" s="1"/>
  <c r="F36" i="18"/>
  <c r="F37" i="18" s="1"/>
  <c r="G36" i="18"/>
  <c r="G37" i="18" s="1"/>
  <c r="H36" i="18"/>
  <c r="H37" i="18"/>
  <c r="C38" i="18"/>
  <c r="C39" i="18" s="1"/>
  <c r="D38" i="18"/>
  <c r="D39" i="18" s="1"/>
  <c r="E38" i="18"/>
  <c r="E39" i="18" s="1"/>
  <c r="F38" i="18"/>
  <c r="F39" i="18" s="1"/>
  <c r="G38" i="18"/>
  <c r="G39" i="18" s="1"/>
  <c r="H38" i="18"/>
  <c r="H39" i="18" s="1"/>
  <c r="C40" i="18"/>
  <c r="C41" i="18" s="1"/>
  <c r="D40" i="18"/>
  <c r="D41" i="18" s="1"/>
  <c r="E40" i="18"/>
  <c r="E41" i="18" s="1"/>
  <c r="F40" i="18"/>
  <c r="F41" i="18" s="1"/>
  <c r="G40" i="18"/>
  <c r="H40" i="18"/>
  <c r="G41" i="18"/>
  <c r="H41" i="18"/>
  <c r="C42" i="18"/>
  <c r="C43" i="18" s="1"/>
  <c r="D42" i="18"/>
  <c r="E42" i="18"/>
  <c r="E43" i="18" s="1"/>
  <c r="F42" i="18"/>
  <c r="F43" i="18" s="1"/>
  <c r="G42" i="18"/>
  <c r="H42" i="18"/>
  <c r="D43" i="18"/>
  <c r="G43" i="18"/>
  <c r="H43" i="18"/>
  <c r="C44" i="18"/>
  <c r="D44" i="18"/>
  <c r="D45" i="18" s="1"/>
  <c r="E44" i="18"/>
  <c r="E45" i="18" s="1"/>
  <c r="F44" i="18"/>
  <c r="G44" i="18"/>
  <c r="G45" i="18" s="1"/>
  <c r="H44" i="18"/>
  <c r="H45" i="18" s="1"/>
  <c r="C45" i="18"/>
  <c r="F45" i="18"/>
  <c r="C46" i="18"/>
  <c r="D46" i="18"/>
  <c r="D47" i="18" s="1"/>
  <c r="E46" i="18"/>
  <c r="E47" i="18" s="1"/>
  <c r="F46" i="18"/>
  <c r="F47" i="18" s="1"/>
  <c r="G46" i="18"/>
  <c r="G47" i="18" s="1"/>
  <c r="H46" i="18"/>
  <c r="H47" i="18" s="1"/>
  <c r="C47" i="18"/>
  <c r="C48" i="18"/>
  <c r="C49" i="18" s="1"/>
  <c r="D48" i="18"/>
  <c r="D49" i="18" s="1"/>
  <c r="E48" i="18"/>
  <c r="E49" i="18" s="1"/>
  <c r="F48" i="18"/>
  <c r="F49" i="18" s="1"/>
  <c r="G48" i="18"/>
  <c r="G49" i="18" s="1"/>
  <c r="H48" i="18"/>
  <c r="H49" i="18"/>
  <c r="C50" i="18"/>
  <c r="C51" i="18" s="1"/>
  <c r="D50" i="18"/>
  <c r="D51" i="18" s="1"/>
  <c r="E50" i="18"/>
  <c r="E51" i="18" s="1"/>
  <c r="F50" i="18"/>
  <c r="F51" i="18" s="1"/>
  <c r="G50" i="18"/>
  <c r="H50" i="18"/>
  <c r="H51" i="18" s="1"/>
  <c r="G51" i="18"/>
  <c r="C52" i="18"/>
  <c r="C53" i="18" s="1"/>
  <c r="D52" i="18"/>
  <c r="D53" i="18" s="1"/>
  <c r="E52" i="18"/>
  <c r="E53" i="18" s="1"/>
  <c r="F52" i="18"/>
  <c r="F53" i="18" s="1"/>
  <c r="G52" i="18"/>
  <c r="G53" i="18" s="1"/>
  <c r="H52" i="18"/>
  <c r="H53" i="18"/>
  <c r="C54" i="18"/>
  <c r="C55" i="18" s="1"/>
  <c r="D54" i="18"/>
  <c r="D55" i="18" s="1"/>
  <c r="E54" i="18"/>
  <c r="E55" i="18" s="1"/>
  <c r="F54" i="18"/>
  <c r="F55" i="18" s="1"/>
  <c r="G54" i="18"/>
  <c r="G55" i="18" s="1"/>
  <c r="H54" i="18"/>
  <c r="H55" i="18" s="1"/>
  <c r="C56" i="18"/>
  <c r="C57" i="18" s="1"/>
  <c r="D56" i="18"/>
  <c r="D57" i="18" s="1"/>
  <c r="E56" i="18"/>
  <c r="E57" i="18" s="1"/>
  <c r="F56" i="18"/>
  <c r="G56" i="18"/>
  <c r="G57" i="18" s="1"/>
  <c r="H56" i="18"/>
  <c r="H57" i="18" s="1"/>
  <c r="F57" i="18"/>
  <c r="C58" i="18"/>
  <c r="C59" i="18" s="1"/>
  <c r="D58" i="18"/>
  <c r="E58" i="18"/>
  <c r="E59" i="18" s="1"/>
  <c r="F58" i="18"/>
  <c r="F59" i="18" s="1"/>
  <c r="G58" i="18"/>
  <c r="G59" i="18" s="1"/>
  <c r="H58" i="18"/>
  <c r="H59" i="18" s="1"/>
  <c r="D59" i="18"/>
  <c r="C60" i="18"/>
  <c r="C61" i="18" s="1"/>
  <c r="D60" i="18"/>
  <c r="D61" i="18" s="1"/>
  <c r="E60" i="18"/>
  <c r="E61" i="18" s="1"/>
  <c r="F60" i="18"/>
  <c r="F61" i="18" s="1"/>
  <c r="G60" i="18"/>
  <c r="G61" i="18" s="1"/>
  <c r="H60" i="18"/>
  <c r="H61" i="18" s="1"/>
  <c r="C62" i="18"/>
  <c r="C63" i="18" s="1"/>
  <c r="D62" i="18"/>
  <c r="D63" i="18" s="1"/>
  <c r="E62" i="18"/>
  <c r="E63" i="18" s="1"/>
  <c r="F62" i="18"/>
  <c r="F63" i="18" s="1"/>
  <c r="G62" i="18"/>
  <c r="G63" i="18" s="1"/>
  <c r="H62" i="18"/>
  <c r="H63" i="18"/>
  <c r="C64" i="18"/>
  <c r="C65" i="18" s="1"/>
  <c r="D64" i="18"/>
  <c r="D65" i="18" s="1"/>
  <c r="E64" i="18"/>
  <c r="E65" i="18" s="1"/>
  <c r="F64" i="18"/>
  <c r="G64" i="18"/>
  <c r="G65" i="18" s="1"/>
  <c r="H64" i="18"/>
  <c r="H65" i="18" s="1"/>
  <c r="F65" i="18"/>
  <c r="C66" i="18"/>
  <c r="C67" i="18" s="1"/>
  <c r="D66" i="18"/>
  <c r="D67" i="18" s="1"/>
  <c r="E66" i="18"/>
  <c r="E67" i="18" s="1"/>
  <c r="F66" i="18"/>
  <c r="F67" i="18" s="1"/>
  <c r="H66" i="18"/>
  <c r="H67" i="18" s="1"/>
  <c r="C68" i="18"/>
  <c r="C69" i="18" s="1"/>
  <c r="D68" i="18"/>
  <c r="D69" i="18" s="1"/>
  <c r="E68" i="18"/>
  <c r="E69" i="18" s="1"/>
  <c r="F68" i="18"/>
  <c r="F69" i="18" s="1"/>
  <c r="H68" i="18"/>
  <c r="H69" i="18" s="1"/>
  <c r="B68" i="18"/>
  <c r="B69" i="18" s="1"/>
  <c r="B66" i="18"/>
  <c r="B67" i="18" s="1"/>
  <c r="B64" i="18"/>
  <c r="B65" i="18" s="1"/>
  <c r="B62" i="18"/>
  <c r="B63" i="18" s="1"/>
  <c r="B60" i="18"/>
  <c r="B61" i="18" s="1"/>
  <c r="B58" i="18"/>
  <c r="B59" i="18" s="1"/>
  <c r="B56" i="18"/>
  <c r="B57" i="18" s="1"/>
  <c r="B54" i="18"/>
  <c r="B55" i="18" s="1"/>
  <c r="B52" i="18"/>
  <c r="B53" i="18" s="1"/>
  <c r="B50" i="18"/>
  <c r="B51" i="18" s="1"/>
  <c r="B48" i="18"/>
  <c r="B49" i="18" s="1"/>
  <c r="B46" i="18"/>
  <c r="B47" i="18" s="1"/>
  <c r="B44" i="18"/>
  <c r="B45" i="18" s="1"/>
  <c r="B42" i="18"/>
  <c r="B43" i="18" s="1"/>
  <c r="B40" i="18"/>
  <c r="B41" i="18" s="1"/>
  <c r="B38" i="18"/>
  <c r="B39" i="18" s="1"/>
  <c r="B36" i="18"/>
  <c r="B37" i="18" s="1"/>
  <c r="B34" i="18"/>
  <c r="B35" i="18" s="1"/>
  <c r="B32" i="18"/>
  <c r="B33" i="18" s="1"/>
  <c r="B30" i="18"/>
  <c r="B31" i="18" s="1"/>
  <c r="B29" i="18"/>
  <c r="B28" i="18"/>
  <c r="B26" i="18"/>
  <c r="B27" i="18" s="1"/>
  <c r="B24" i="18"/>
  <c r="B25" i="18" s="1"/>
  <c r="B22" i="18"/>
  <c r="B23" i="18" s="1"/>
  <c r="B20" i="18"/>
  <c r="B21" i="18" s="1"/>
  <c r="B18" i="18"/>
  <c r="B19" i="18" s="1"/>
  <c r="B16" i="18"/>
  <c r="B17" i="18" s="1"/>
  <c r="B14" i="18"/>
  <c r="B15" i="18" s="1"/>
  <c r="B12" i="18"/>
  <c r="B13" i="18" s="1"/>
  <c r="B10" i="18"/>
  <c r="B11" i="18" s="1"/>
  <c r="L2" i="1" l="1"/>
  <c r="M2" i="1"/>
  <c r="N2" i="1"/>
  <c r="O2" i="1"/>
  <c r="P2" i="1"/>
  <c r="Q2" i="1"/>
  <c r="K2" i="1"/>
  <c r="B98" i="18" l="1"/>
  <c r="R45" i="1"/>
  <c r="S45" i="1"/>
  <c r="R46" i="1"/>
  <c r="S46" i="1"/>
  <c r="R47" i="1"/>
  <c r="S47" i="1"/>
  <c r="R48" i="1"/>
  <c r="S48" i="1"/>
  <c r="L61" i="1" l="1"/>
  <c r="L66" i="1" s="1"/>
  <c r="P61" i="1"/>
  <c r="P66" i="1" s="1"/>
  <c r="C98" i="18"/>
  <c r="N61" i="1"/>
  <c r="N66" i="1" s="1"/>
  <c r="Q61" i="1"/>
  <c r="Q66" i="1" s="1"/>
  <c r="K66" i="1"/>
  <c r="M61" i="1" l="1"/>
  <c r="M66" i="1" s="1"/>
  <c r="O61" i="1"/>
  <c r="O66" i="1" s="1"/>
  <c r="D98" i="18"/>
  <c r="E98" i="18" l="1"/>
  <c r="F98" i="18" l="1"/>
  <c r="G98" i="18" l="1"/>
  <c r="R29" i="1"/>
  <c r="H98" i="18" l="1"/>
  <c r="R10" i="1" l="1"/>
  <c r="S10" i="1"/>
  <c r="R22" i="1" l="1"/>
  <c r="R31" i="1"/>
  <c r="R34" i="1"/>
  <c r="R38" i="1"/>
  <c r="R3" i="1"/>
  <c r="R6" i="1"/>
  <c r="R9" i="1"/>
  <c r="R41" i="1"/>
  <c r="R19" i="1"/>
  <c r="R12" i="1"/>
  <c r="S8" i="1"/>
  <c r="R14" i="1"/>
  <c r="R17" i="1"/>
  <c r="S18" i="1"/>
  <c r="R23" i="1"/>
  <c r="S16" i="1"/>
  <c r="R25" i="1"/>
  <c r="S26" i="1"/>
  <c r="S30" i="1"/>
  <c r="R13" i="1"/>
  <c r="S21" i="1"/>
  <c r="R32" i="1"/>
  <c r="S33" i="1"/>
  <c r="R36" i="1"/>
  <c r="S37" i="1"/>
  <c r="S40" i="1"/>
  <c r="R42" i="1"/>
  <c r="S5" i="1"/>
  <c r="R7" i="1"/>
  <c r="R5" i="1"/>
  <c r="S7" i="1"/>
  <c r="R8" i="1"/>
  <c r="S14" i="1"/>
  <c r="S17" i="1"/>
  <c r="R18" i="1"/>
  <c r="S23" i="1"/>
  <c r="R16" i="1"/>
  <c r="S25" i="1"/>
  <c r="R26" i="1"/>
  <c r="R30" i="1"/>
  <c r="S13" i="1"/>
  <c r="R21" i="1"/>
  <c r="S32" i="1"/>
  <c r="R33" i="1"/>
  <c r="S36" i="1"/>
  <c r="R37" i="1"/>
  <c r="R40" i="1"/>
  <c r="S42" i="1"/>
  <c r="R4" i="1"/>
  <c r="S4" i="1"/>
  <c r="S15" i="1"/>
  <c r="S20" i="1"/>
  <c r="R24" i="1"/>
  <c r="S29" i="1"/>
  <c r="R28" i="1"/>
  <c r="S11" i="1"/>
  <c r="S27" i="1"/>
  <c r="S35" i="1"/>
  <c r="S39" i="1"/>
  <c r="S24" i="1"/>
  <c r="S28" i="1"/>
  <c r="S3" i="1"/>
  <c r="S6" i="1"/>
  <c r="S9" i="1"/>
  <c r="S12" i="1"/>
  <c r="R15" i="1"/>
  <c r="S19" i="1"/>
  <c r="R20" i="1"/>
  <c r="S22" i="1"/>
  <c r="S31" i="1"/>
  <c r="R11" i="1"/>
  <c r="R27" i="1"/>
  <c r="S34" i="1"/>
  <c r="R35" i="1"/>
  <c r="S38" i="1"/>
  <c r="R39" i="1"/>
  <c r="S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<sst xmlns="http://schemas.openxmlformats.org/spreadsheetml/2006/main" count="333" uniqueCount="103">
  <si>
    <t>TL</t>
  </si>
  <si>
    <t>Gender</t>
  </si>
  <si>
    <t>HR ID</t>
  </si>
  <si>
    <t>Sun</t>
  </si>
  <si>
    <t>Mon</t>
  </si>
  <si>
    <t>Tue</t>
  </si>
  <si>
    <t>Wed</t>
  </si>
  <si>
    <t>Thu</t>
  </si>
  <si>
    <t>Fri</t>
  </si>
  <si>
    <t>Sat</t>
  </si>
  <si>
    <t>OFF</t>
  </si>
  <si>
    <t>HC</t>
  </si>
  <si>
    <t>Annual</t>
  </si>
  <si>
    <t>Training</t>
  </si>
  <si>
    <t>Net Requied</t>
  </si>
  <si>
    <t>Queue</t>
  </si>
  <si>
    <t>`</t>
  </si>
  <si>
    <t>ID</t>
  </si>
  <si>
    <t>Contract</t>
  </si>
  <si>
    <t>F</t>
  </si>
  <si>
    <t>M</t>
  </si>
  <si>
    <t>AL</t>
  </si>
  <si>
    <t>Sick</t>
  </si>
  <si>
    <t>Scheduled</t>
  </si>
  <si>
    <t>#</t>
  </si>
  <si>
    <t>FT</t>
  </si>
  <si>
    <t>MCD / Digital</t>
  </si>
  <si>
    <t>Between</t>
  </si>
  <si>
    <t>Old</t>
  </si>
  <si>
    <t>New</t>
  </si>
  <si>
    <t>Agents Status</t>
  </si>
  <si>
    <t>Staffing</t>
  </si>
  <si>
    <t>Total</t>
  </si>
  <si>
    <t>Non Voice</t>
  </si>
  <si>
    <t>site</t>
  </si>
  <si>
    <t>new site</t>
  </si>
  <si>
    <t>col</t>
  </si>
  <si>
    <t>row</t>
  </si>
  <si>
    <t>swap</t>
  </si>
  <si>
    <t>name</t>
  </si>
  <si>
    <t>a</t>
  </si>
  <si>
    <t>b</t>
  </si>
  <si>
    <t>d</t>
  </si>
  <si>
    <t>e</t>
  </si>
  <si>
    <t>f</t>
  </si>
  <si>
    <t>g</t>
  </si>
  <si>
    <t>c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</si>
  <si>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</si>
  <si>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</si>
  <si>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</si>
  <si>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</si>
  <si>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</si>
  <si>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</si>
  <si>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</si>
  <si>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</si>
  <si>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</si>
  <si>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</si>
  <si>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في حاله ان اول خليه تعطي true يمكن عمل swap // في حاله ان اول خليه تعطى false يعني ان المواعيد متشابهه</t>
  </si>
  <si>
    <t xml:space="preserve">Swap لعمل تعديل موعد اول اسم  // swap 2 لعمل تعديل موعد ثاني اسم // يجب عمل swap أولا </t>
  </si>
  <si>
    <t>اختيار الاسم مطابق للجدول في شيت schedule // يفضل copy &amp; paste</t>
  </si>
  <si>
    <t xml:space="preserve">بعد اختيار الاسم يتم تحديد اليوم المراد تبديله من الليست ثم سيتم توضيح الموعد </t>
  </si>
  <si>
    <t>يتم نسخ المواعيد عند الضغط على  swap تلقائى</t>
  </si>
  <si>
    <t>NATHANIEL FORD</t>
  </si>
  <si>
    <t>GARY JIMENEZ</t>
  </si>
  <si>
    <t>ALBERT PARDINI</t>
  </si>
  <si>
    <t>CHRISTOPHER CHONG</t>
  </si>
  <si>
    <t>PATRICK GARDNER</t>
  </si>
  <si>
    <t>DAVID SULLIVAN</t>
  </si>
  <si>
    <t>ALSON LEE</t>
  </si>
  <si>
    <t>DAVID KUSHNER</t>
  </si>
  <si>
    <t>MICHAEL MORRIS</t>
  </si>
  <si>
    <t>JOANNE HAYES-WHITE</t>
  </si>
  <si>
    <t>ARTHUR KENNEY</t>
  </si>
  <si>
    <t>PATRICIA JACKSON</t>
  </si>
  <si>
    <t>EDWARD HARRINGTON</t>
  </si>
  <si>
    <t>JOHN MARTIN</t>
  </si>
  <si>
    <t>DAVID FRANKLIN</t>
  </si>
  <si>
    <t>RICHARD CORRIEA</t>
  </si>
  <si>
    <t>AMY HART</t>
  </si>
  <si>
    <t>SEBASTIAN WONG</t>
  </si>
  <si>
    <t>MARTY ROSS</t>
  </si>
  <si>
    <t>ELLEN MOFFATT</t>
  </si>
  <si>
    <t>VENUS AZAR</t>
  </si>
  <si>
    <t>JUDY MELINEK</t>
  </si>
  <si>
    <t>GEORGE GARCIA</t>
  </si>
  <si>
    <t>VICTOR WYRSCH</t>
  </si>
  <si>
    <t>JOSEPH DRISCOLL</t>
  </si>
  <si>
    <t>GREGORY SUHR</t>
  </si>
  <si>
    <t>JOHN HANLEY</t>
  </si>
  <si>
    <t>RAYMOND GUZMAN</t>
  </si>
  <si>
    <t>DENISE SCHMITT</t>
  </si>
  <si>
    <t>MONICA FIELDS</t>
  </si>
  <si>
    <t>HARLAN KELLY-JR</t>
  </si>
  <si>
    <t>DAVID SHINN</t>
  </si>
  <si>
    <t>GARY AMELIO</t>
  </si>
  <si>
    <t>JOHN TURSI</t>
  </si>
  <si>
    <t>JOSE VELO</t>
  </si>
  <si>
    <t>KHOA TRINH</t>
  </si>
  <si>
    <t>SUSAN CURRIN</t>
  </si>
  <si>
    <t>JAMES BOSCH</t>
  </si>
  <si>
    <t>JONES WONG</t>
  </si>
  <si>
    <t>BRENDAN WARD</t>
  </si>
  <si>
    <t>FILTER(VSTACK(يتم وضع اسم الجدول الاول, يتم وضع اسم الجدول الثاني),ISNUMBER(SEARCH(خليه البحث,VSTACK(يتم وضع اسم الجدول الأول [ اسم عمود البحث],يتم وضع اسم الجدول الثاني  [اسم عمود البحث للجدول الثاني])&amp;"*"&amp;VSTACK(يتم وضع اسم الجدول الاول [اسم عمود البحث الثاني], يتم وضع اسم الجدول الثاني [اسم عمود البحث الثاني ]))),"Not Found")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</si>
</sst>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;@"/>
    <numFmt numFmtId="165" formatCode="h:mm;@"/>
    <numFmt numFmtId="166" formatCode="[$-F800]dddd\,\ mmmm\ dd\,\ yyyy"/>
    <numFmt numFmtId="167" formatCode="h:mm:ss\ AM/PM;@"/>
    <numFmt numFmtId="168" formatCode="dddd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0"/>
      <name val="Arial"/>
      <family val="2"/>
    </font>
    <font>
      <sz val="8"/>
      <name val="Calibri"/>
      <family val="2"/>
      <scheme val="minor"/>
    </font>
    <font>
      <b/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3" tint="-0.24994659260841701"/>
      </left>
      <right/>
      <top/>
      <bottom/>
      <diagonal/>
    </border>
    <border>
      <left/>
      <right style="thick">
        <color theme="3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5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6" fillId="0" borderId="0"/>
    <xf numFmtId="0" fontId="7" fillId="0" borderId="0">
      <alignment vertical="top"/>
    </xf>
    <xf numFmtId="0" fontId="1" fillId="0" borderId="0"/>
    <xf numFmtId="0" fontId="5" fillId="0" borderId="0">
      <alignment vertical="top"/>
    </xf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" fillId="0" borderId="0"/>
  </cellStyleXfs>
  <cellXfs count="47">
    <xf numFmtId="0" fontId="0" fillId="0" borderId="0" xfId="0"/>
    <xf numFmtId="164" fontId="2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3" fillId="4" borderId="3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66" fontId="9" fillId="9" borderId="7" xfId="0" applyNumberFormat="1" applyFont="1" applyFill="1" applyBorder="1" applyAlignment="1">
      <alignment horizontal="center" vertical="center"/>
    </xf>
    <xf numFmtId="167" fontId="11" fillId="9" borderId="2" xfId="23" applyNumberFormat="1" applyFont="1" applyFill="1" applyBorder="1" applyAlignment="1">
      <alignment horizontal="center" vertical="center"/>
    </xf>
    <xf numFmtId="1" fontId="10" fillId="0" borderId="8" xfId="0" applyNumberFormat="1" applyFont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0" fontId="3" fillId="4" borderId="3" xfId="0" applyNumberFormat="1" applyFont="1" applyFill="1" applyBorder="1" applyAlignment="1">
      <alignment horizontal="center" vertical="center"/>
    </xf>
    <xf numFmtId="0" fontId="13" fillId="11" borderId="9" xfId="5" applyFont="1" applyFill="1" applyBorder="1" applyAlignment="1">
      <alignment horizontal="center" vertical="center"/>
    </xf>
    <xf numFmtId="168" fontId="13" fillId="11" borderId="0" xfId="5" applyNumberFormat="1" applyFont="1" applyFill="1" applyAlignment="1">
      <alignment horizontal="center" vertical="center"/>
    </xf>
    <xf numFmtId="168" fontId="13" fillId="11" borderId="10" xfId="5" applyNumberFormat="1" applyFont="1" applyFill="1" applyBorder="1" applyAlignment="1">
      <alignment horizontal="center" vertical="center"/>
    </xf>
    <xf numFmtId="20" fontId="13" fillId="11" borderId="9" xfId="5" applyNumberFormat="1" applyFont="1" applyFill="1" applyBorder="1" applyAlignment="1">
      <alignment horizontal="center" vertical="center"/>
    </xf>
    <xf numFmtId="1" fontId="5" fillId="0" borderId="0" xfId="5" applyNumberFormat="1" applyAlignment="1">
      <alignment horizontal="center" vertical="center"/>
    </xf>
    <xf numFmtId="20" fontId="13" fillId="11" borderId="0" xfId="5" applyNumberFormat="1" applyFont="1" applyFill="1" applyAlignment="1">
      <alignment horizontal="center" vertical="center"/>
    </xf>
    <xf numFmtId="1" fontId="13" fillId="11" borderId="0" xfId="5" applyNumberFormat="1" applyFont="1" applyFill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  <xf numFmtId="165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" xfId="0" applyBorder="1"/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0" fillId="8" borderId="12" xfId="0" applyFont="1" applyFill="1" applyBorder="1" applyAlignment="1">
      <alignment horizontal="right" vertical="top" wrapText="1"/>
    </xf>
    <xf numFmtId="0" fontId="10" fillId="8" borderId="11" xfId="0" applyFont="1" applyFill="1" applyBorder="1" applyAlignment="1">
      <alignment horizontal="right" vertical="top" wrapText="1"/>
    </xf>
    <xf numFmtId="0" fontId="10" fillId="8" borderId="15" xfId="0" applyFont="1" applyFill="1" applyBorder="1" applyAlignment="1">
      <alignment horizontal="right" vertical="top" wrapText="1"/>
    </xf>
    <xf numFmtId="0" fontId="9" fillId="7" borderId="11" xfId="0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10" fillId="8" borderId="12" xfId="0" applyFont="1" applyFill="1" applyBorder="1" applyAlignment="1">
      <alignment horizontal="center" vertical="top" wrapText="1"/>
    </xf>
    <xf numFmtId="0" fontId="10" fillId="8" borderId="11" xfId="0" applyFont="1" applyFill="1" applyBorder="1" applyAlignment="1">
      <alignment horizontal="center" vertical="top" wrapText="1"/>
    </xf>
    <xf numFmtId="0" fontId="10" fillId="8" borderId="15" xfId="0" applyFont="1" applyFill="1" applyBorder="1" applyAlignment="1">
      <alignment horizontal="center" vertical="top" wrapText="1"/>
    </xf>
    <xf numFmtId="0" fontId="10" fillId="8" borderId="13" xfId="0" applyFont="1" applyFill="1" applyBorder="1" applyAlignment="1">
      <alignment horizontal="center" vertical="top" wrapText="1"/>
    </xf>
    <xf numFmtId="0" fontId="10" fillId="8" borderId="14" xfId="0" applyFont="1" applyFill="1" applyBorder="1" applyAlignment="1">
      <alignment horizontal="center" vertical="top" wrapText="1"/>
    </xf>
    <xf numFmtId="0" fontId="10" fillId="8" borderId="6" xfId="0" applyFont="1" applyFill="1" applyBorder="1" applyAlignment="1">
      <alignment horizontal="center" vertical="top" wrapText="1"/>
    </xf>
  </cellXfs>
  <cellStyles count="25">
    <cellStyle name="%" xfId="1" xr:uid="{00000000-0005-0000-0000-000000000000}"/>
    <cellStyle name="% 2" xfId="2" xr:uid="{00000000-0005-0000-0000-000001000000}"/>
    <cellStyle name="% 2 2" xfId="3" xr:uid="{00000000-0005-0000-0000-000002000000}"/>
    <cellStyle name="% 3" xfId="4" xr:uid="{00000000-0005-0000-0000-000003000000}"/>
    <cellStyle name="% 4" xfId="5" xr:uid="{00000000-0005-0000-0000-000004000000}"/>
    <cellStyle name="% 5" xfId="6" xr:uid="{00000000-0005-0000-0000-000005000000}"/>
    <cellStyle name="_Mac Cairo Forecasting Schedule for week 1-2009" xfId="7" xr:uid="{00000000-0005-0000-0000-000006000000}"/>
    <cellStyle name="_Mac Cairo Forecasting Schedule for week 6-2009" xfId="8" xr:uid="{00000000-0005-0000-0000-000007000000}"/>
    <cellStyle name="_Schedule" xfId="9" xr:uid="{00000000-0005-0000-0000-000008000000}"/>
    <cellStyle name="Normal" xfId="0" builtinId="0"/>
    <cellStyle name="Normal 2" xfId="10" xr:uid="{00000000-0005-0000-0000-00000A000000}"/>
    <cellStyle name="Normal 2 11" xfId="23" xr:uid="{00000000-0005-0000-0000-00000B000000}"/>
    <cellStyle name="Normal 285" xfId="24" xr:uid="{00000000-0005-0000-0000-00000C000000}"/>
    <cellStyle name="Normal 3" xfId="11" xr:uid="{00000000-0005-0000-0000-00000D000000}"/>
    <cellStyle name="Normal 3 2" xfId="12" xr:uid="{00000000-0005-0000-0000-00000E000000}"/>
    <cellStyle name="Normal 3 3" xfId="13" xr:uid="{00000000-0005-0000-0000-00000F000000}"/>
    <cellStyle name="Normal 4" xfId="14" xr:uid="{00000000-0005-0000-0000-000010000000}"/>
    <cellStyle name="Normal 5" xfId="15" xr:uid="{00000000-0005-0000-0000-000011000000}"/>
    <cellStyle name="Normal 7" xfId="16" xr:uid="{00000000-0005-0000-0000-000012000000}"/>
    <cellStyle name="Percent 2" xfId="17" xr:uid="{00000000-0005-0000-0000-000014000000}"/>
    <cellStyle name="Percent 3" xfId="18" xr:uid="{00000000-0005-0000-0000-000015000000}"/>
    <cellStyle name="Percent 3 2" xfId="19" xr:uid="{00000000-0005-0000-0000-000016000000}"/>
    <cellStyle name="Percent 4" xfId="20" xr:uid="{00000000-0005-0000-0000-000017000000}"/>
    <cellStyle name="Percent 5" xfId="21" xr:uid="{00000000-0005-0000-0000-000018000000}"/>
    <cellStyle name="Title 2" xfId="22" xr:uid="{00000000-0005-0000-0000-000019000000}"/>
  </cellStyles>
  <dxfs count="797"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12</xdr:row>
          <xdr:rowOff>175260</xdr:rowOff>
        </xdr:from>
        <xdr:to>
          <xdr:col>7</xdr:col>
          <xdr:colOff>594360</xdr:colOff>
          <xdr:row>13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swap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</xdr:row>
          <xdr:rowOff>7620</xdr:rowOff>
        </xdr:from>
        <xdr:to>
          <xdr:col>7</xdr:col>
          <xdr:colOff>594360</xdr:colOff>
          <xdr:row>15</xdr:row>
          <xdr:rowOff>7620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swap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6"/>
  <sheetViews>
    <sheetView showGridLines="0" zoomScale="85" zoomScaleNormal="85" workbookViewId="0">
      <pane ySplit="2" topLeftCell="A3" activePane="bottomLeft" state="frozen"/>
      <selection activeCell="E106" sqref="E106"/>
      <selection pane="bottomLeft" activeCell="K16" sqref="K16"/>
    </sheetView>
  </sheetViews>
  <sheetFormatPr defaultColWidth="9.109375" defaultRowHeight="14.4" x14ac:dyDescent="0.3"/>
  <cols>
    <col min="1" max="1" width="7.5546875" style="2" bestFit="1" customWidth="1"/>
    <col min="2" max="2" width="55" style="2" bestFit="1" customWidth="1"/>
    <col min="3" max="3" width="14" style="2" hidden="1" customWidth="1"/>
    <col min="4" max="4" width="18.6640625" style="2" hidden="1" customWidth="1"/>
    <col min="5" max="5" width="22.109375" style="2" hidden="1" customWidth="1"/>
    <col min="6" max="6" width="18" style="2" hidden="1" customWidth="1"/>
    <col min="7" max="7" width="16.6640625" style="2" hidden="1" customWidth="1"/>
    <col min="8" max="8" width="15.44140625" style="2" hidden="1" customWidth="1"/>
    <col min="9" max="10" width="31.5546875" style="2" hidden="1" customWidth="1"/>
    <col min="11" max="11" width="14.44140625" style="2" bestFit="1" customWidth="1"/>
    <col min="12" max="12" width="13.44140625" style="2" customWidth="1"/>
    <col min="13" max="13" width="14.44140625" style="2" customWidth="1"/>
    <col min="14" max="14" width="13.44140625" style="2" customWidth="1"/>
    <col min="15" max="15" width="12.5546875" style="2" customWidth="1"/>
    <col min="16" max="16" width="13.109375" style="2" customWidth="1"/>
    <col min="17" max="17" width="13.44140625" style="2" customWidth="1"/>
    <col min="18" max="18" width="14.109375" style="2" customWidth="1"/>
    <col min="19" max="19" width="16.33203125" style="2" customWidth="1"/>
    <col min="20" max="21" width="3" style="2" customWidth="1"/>
    <col min="22" max="22" width="14.88671875" style="2" customWidth="1"/>
    <col min="23" max="25" width="9.109375" style="2"/>
    <col min="26" max="26" width="2.44140625" style="2" bestFit="1" customWidth="1"/>
    <col min="27" max="16384" width="9.109375" style="2"/>
  </cols>
  <sheetData>
    <row r="1" spans="1:26" ht="20.25" customHeight="1" x14ac:dyDescent="0.3">
      <c r="A1" s="34" t="str">
        <f>"Schedule Week "&amp;WEEKNUM(K1)</f>
        <v>Schedule Week 48</v>
      </c>
      <c r="B1" s="34"/>
      <c r="C1" s="34"/>
      <c r="D1" s="34"/>
      <c r="E1" s="34"/>
      <c r="F1" s="34"/>
      <c r="G1" s="34"/>
      <c r="H1" s="34"/>
      <c r="I1" s="34"/>
      <c r="J1" s="35"/>
      <c r="K1" s="1">
        <v>44891</v>
      </c>
      <c r="L1" s="1">
        <v>44892</v>
      </c>
      <c r="M1" s="1">
        <v>44893</v>
      </c>
      <c r="N1" s="1">
        <v>44894</v>
      </c>
      <c r="O1" s="1">
        <v>44895</v>
      </c>
      <c r="P1" s="1">
        <v>44896</v>
      </c>
      <c r="Q1" s="1">
        <v>44897</v>
      </c>
    </row>
    <row r="2" spans="1:26" ht="18.75" customHeight="1" x14ac:dyDescent="0.3">
      <c r="A2" s="3" t="s">
        <v>24</v>
      </c>
      <c r="B2" s="3" t="s">
        <v>25</v>
      </c>
      <c r="C2" s="3" t="s">
        <v>17</v>
      </c>
      <c r="D2" s="3" t="s">
        <v>0</v>
      </c>
      <c r="E2" s="3" t="s">
        <v>15</v>
      </c>
      <c r="F2" s="3" t="s">
        <v>18</v>
      </c>
      <c r="G2" s="3" t="s">
        <v>1</v>
      </c>
      <c r="H2" s="3" t="s">
        <v>2</v>
      </c>
      <c r="I2" s="3" t="s">
        <v>30</v>
      </c>
      <c r="J2" s="3" t="s">
        <v>34</v>
      </c>
      <c r="K2" s="3" t="str">
        <f>TEXT(K1,"DDD")</f>
        <v>Sat</v>
      </c>
      <c r="L2" s="3" t="str">
        <f t="shared" ref="L2:Q2" si="0">TEXT(L1,"DDD")</f>
        <v>Sun</v>
      </c>
      <c r="M2" s="3" t="str">
        <f t="shared" si="0"/>
        <v>Mon</v>
      </c>
      <c r="N2" s="3" t="str">
        <f t="shared" si="0"/>
        <v>Tue</v>
      </c>
      <c r="O2" s="3" t="str">
        <f t="shared" si="0"/>
        <v>Wed</v>
      </c>
      <c r="P2" s="3" t="str">
        <f t="shared" si="0"/>
        <v>Thu</v>
      </c>
      <c r="Q2" s="3" t="str">
        <f t="shared" si="0"/>
        <v>Fri</v>
      </c>
      <c r="R2" s="3" t="s">
        <v>10</v>
      </c>
      <c r="S2" s="3" t="s">
        <v>12</v>
      </c>
    </row>
    <row r="3" spans="1:26" ht="15" customHeight="1" x14ac:dyDescent="0.3">
      <c r="A3" s="4">
        <v>1</v>
      </c>
      <c r="B3" s="4" t="s">
        <v>62</v>
      </c>
      <c r="C3" s="4"/>
      <c r="D3" s="4"/>
      <c r="E3" s="4" t="s">
        <v>33</v>
      </c>
      <c r="F3" s="20" t="s">
        <v>25</v>
      </c>
      <c r="G3" s="6" t="s">
        <v>19</v>
      </c>
      <c r="H3" s="5"/>
      <c r="I3" s="5" t="s">
        <v>28</v>
      </c>
      <c r="J3" s="14" t="s">
        <v>35</v>
      </c>
      <c r="K3" s="7">
        <v>0.35416666666666669</v>
      </c>
      <c r="L3" s="7">
        <v>0.35416666666666669</v>
      </c>
      <c r="M3" s="7">
        <v>0.625</v>
      </c>
      <c r="N3" s="7">
        <v>0.625</v>
      </c>
      <c r="O3" s="7">
        <v>0.64583333333333337</v>
      </c>
      <c r="P3" s="7">
        <v>0.35416666666666669</v>
      </c>
      <c r="Q3" s="7" t="s">
        <v>10</v>
      </c>
      <c r="R3" s="2">
        <f t="shared" ref="R3:R42" si="1">COUNTIF(K3:Q3,"OFF")</f>
        <v>1</v>
      </c>
      <c r="S3" s="2">
        <f t="shared" ref="S3:S42" si="2">COUNTIF(K3:Q3,"AL")</f>
        <v>0</v>
      </c>
    </row>
    <row r="4" spans="1:26" ht="15" customHeight="1" x14ac:dyDescent="0.3">
      <c r="A4" s="4">
        <f t="shared" ref="A4:A42" si="3">A3+1</f>
        <v>2</v>
      </c>
      <c r="B4" s="4" t="s">
        <v>63</v>
      </c>
      <c r="C4" s="4"/>
      <c r="D4" s="4"/>
      <c r="E4" s="4" t="s">
        <v>33</v>
      </c>
      <c r="F4" s="20" t="s">
        <v>25</v>
      </c>
      <c r="G4" s="6" t="s">
        <v>19</v>
      </c>
      <c r="H4" s="5"/>
      <c r="I4" s="5" t="s">
        <v>28</v>
      </c>
      <c r="J4" s="14"/>
      <c r="K4" s="7">
        <v>0.41666666666666669</v>
      </c>
      <c r="L4" s="7">
        <v>0.35416666666666669</v>
      </c>
      <c r="M4" s="7">
        <v>0.35416666666666669</v>
      </c>
      <c r="N4" s="7">
        <v>0.35416666666666669</v>
      </c>
      <c r="O4" s="7">
        <v>0.33333333333333331</v>
      </c>
      <c r="P4" s="7">
        <v>0.35416666666666669</v>
      </c>
      <c r="Q4" s="7" t="s">
        <v>10</v>
      </c>
      <c r="R4" s="2">
        <f t="shared" si="1"/>
        <v>1</v>
      </c>
      <c r="S4" s="2">
        <f t="shared" si="2"/>
        <v>0</v>
      </c>
    </row>
    <row r="5" spans="1:26" ht="15" customHeight="1" x14ac:dyDescent="0.3">
      <c r="A5" s="4">
        <f t="shared" si="3"/>
        <v>3</v>
      </c>
      <c r="B5" s="4" t="s">
        <v>64</v>
      </c>
      <c r="C5" s="4"/>
      <c r="D5" s="4"/>
      <c r="E5" s="4" t="s">
        <v>33</v>
      </c>
      <c r="F5" s="20" t="s">
        <v>25</v>
      </c>
      <c r="G5" s="6" t="s">
        <v>19</v>
      </c>
      <c r="H5" s="5"/>
      <c r="I5" s="5" t="s">
        <v>28</v>
      </c>
      <c r="J5" s="14"/>
      <c r="K5" s="7">
        <v>0.625</v>
      </c>
      <c r="L5" s="7">
        <v>0.64583333333333337</v>
      </c>
      <c r="M5" s="7">
        <v>0.64583333333333337</v>
      </c>
      <c r="N5" s="7">
        <v>0.64583333333333337</v>
      </c>
      <c r="O5" s="7">
        <v>0.35416666666666669</v>
      </c>
      <c r="P5" s="7" t="s">
        <v>10</v>
      </c>
      <c r="Q5" s="7" t="s">
        <v>10</v>
      </c>
      <c r="R5" s="2">
        <f t="shared" si="1"/>
        <v>2</v>
      </c>
      <c r="S5" s="2">
        <f t="shared" si="2"/>
        <v>0</v>
      </c>
    </row>
    <row r="6" spans="1:26" ht="15" customHeight="1" x14ac:dyDescent="0.3">
      <c r="A6" s="4">
        <f t="shared" si="3"/>
        <v>4</v>
      </c>
      <c r="B6" s="4" t="s">
        <v>65</v>
      </c>
      <c r="C6" s="4"/>
      <c r="D6" s="4"/>
      <c r="E6" s="4" t="s">
        <v>33</v>
      </c>
      <c r="F6" s="20" t="s">
        <v>25</v>
      </c>
      <c r="G6" s="6" t="s">
        <v>19</v>
      </c>
      <c r="H6" s="5"/>
      <c r="I6" s="5" t="s">
        <v>28</v>
      </c>
      <c r="J6" s="14"/>
      <c r="K6" s="7">
        <v>0.35416666666666669</v>
      </c>
      <c r="L6" s="7">
        <v>0.33333333333333331</v>
      </c>
      <c r="M6" s="7">
        <v>0.35416666666666669</v>
      </c>
      <c r="N6" s="7">
        <v>0.625</v>
      </c>
      <c r="O6" s="7">
        <v>0.64583333333333337</v>
      </c>
      <c r="P6" s="7">
        <v>0.64583333333333337</v>
      </c>
      <c r="Q6" s="7" t="s">
        <v>10</v>
      </c>
      <c r="R6" s="2">
        <f t="shared" si="1"/>
        <v>1</v>
      </c>
      <c r="S6" s="2">
        <f t="shared" si="2"/>
        <v>0</v>
      </c>
    </row>
    <row r="7" spans="1:26" ht="15" customHeight="1" x14ac:dyDescent="0.3">
      <c r="A7" s="4">
        <f t="shared" si="3"/>
        <v>5</v>
      </c>
      <c r="B7" s="4" t="s">
        <v>66</v>
      </c>
      <c r="C7" s="4"/>
      <c r="D7" s="4"/>
      <c r="E7" s="4" t="s">
        <v>33</v>
      </c>
      <c r="F7" s="20" t="s">
        <v>25</v>
      </c>
      <c r="G7" s="6" t="s">
        <v>19</v>
      </c>
      <c r="H7" s="5"/>
      <c r="I7" s="5" t="s">
        <v>28</v>
      </c>
      <c r="J7" s="14"/>
      <c r="K7" s="7">
        <v>0.35416666666666669</v>
      </c>
      <c r="L7" s="7">
        <v>0.33333333333333331</v>
      </c>
      <c r="M7" s="7">
        <v>0.64583333333333337</v>
      </c>
      <c r="N7" s="7">
        <v>0.625</v>
      </c>
      <c r="O7" s="7">
        <v>0.35416666666666669</v>
      </c>
      <c r="P7" s="7">
        <v>0.64583333333333337</v>
      </c>
      <c r="Q7" s="7">
        <v>0.54166666666666663</v>
      </c>
      <c r="R7" s="2">
        <f t="shared" si="1"/>
        <v>0</v>
      </c>
      <c r="S7" s="2">
        <f t="shared" si="2"/>
        <v>0</v>
      </c>
    </row>
    <row r="8" spans="1:26" ht="15" customHeight="1" x14ac:dyDescent="0.3">
      <c r="A8" s="4">
        <f t="shared" si="3"/>
        <v>6</v>
      </c>
      <c r="B8" s="4" t="s">
        <v>67</v>
      </c>
      <c r="C8" s="4"/>
      <c r="D8" s="4"/>
      <c r="E8" s="4" t="s">
        <v>33</v>
      </c>
      <c r="F8" s="20" t="s">
        <v>25</v>
      </c>
      <c r="G8" s="6" t="s">
        <v>19</v>
      </c>
      <c r="H8" s="5"/>
      <c r="I8" s="5" t="s">
        <v>28</v>
      </c>
      <c r="J8" s="14"/>
      <c r="K8" s="7">
        <v>0.625</v>
      </c>
      <c r="L8" s="7">
        <v>0.64583333333333337</v>
      </c>
      <c r="M8" s="7">
        <v>0.64583333333333337</v>
      </c>
      <c r="N8" s="7">
        <v>0.64583333333333337</v>
      </c>
      <c r="O8" s="7" t="s">
        <v>21</v>
      </c>
      <c r="P8" s="7">
        <v>0.41666666666666669</v>
      </c>
      <c r="Q8" s="7" t="s">
        <v>10</v>
      </c>
      <c r="R8" s="2">
        <f t="shared" si="1"/>
        <v>1</v>
      </c>
      <c r="S8" s="2">
        <f t="shared" si="2"/>
        <v>1</v>
      </c>
    </row>
    <row r="9" spans="1:26" ht="15" customHeight="1" x14ac:dyDescent="0.3">
      <c r="A9" s="4">
        <f t="shared" si="3"/>
        <v>7</v>
      </c>
      <c r="B9" s="4" t="s">
        <v>68</v>
      </c>
      <c r="C9" s="4"/>
      <c r="D9" s="4"/>
      <c r="E9" s="4" t="s">
        <v>33</v>
      </c>
      <c r="F9" s="20" t="s">
        <v>25</v>
      </c>
      <c r="G9" s="6" t="s">
        <v>19</v>
      </c>
      <c r="H9" s="5"/>
      <c r="I9" s="5" t="s">
        <v>27</v>
      </c>
      <c r="J9" s="14"/>
      <c r="K9" s="7">
        <v>0.33333333333333331</v>
      </c>
      <c r="L9" s="7">
        <v>0.625</v>
      </c>
      <c r="M9" s="7">
        <v>0.33333333333333331</v>
      </c>
      <c r="N9" s="7">
        <v>0.35416666666666669</v>
      </c>
      <c r="O9" s="7">
        <v>0.625</v>
      </c>
      <c r="P9" s="7">
        <v>0.35416666666666669</v>
      </c>
      <c r="Q9" s="7" t="s">
        <v>10</v>
      </c>
      <c r="R9" s="2">
        <f t="shared" si="1"/>
        <v>1</v>
      </c>
      <c r="S9" s="2">
        <f t="shared" si="2"/>
        <v>0</v>
      </c>
    </row>
    <row r="10" spans="1:26" ht="15" customHeight="1" x14ac:dyDescent="0.3">
      <c r="A10" s="4">
        <f t="shared" si="3"/>
        <v>8</v>
      </c>
      <c r="B10" s="4" t="s">
        <v>69</v>
      </c>
      <c r="C10" s="4"/>
      <c r="D10" s="4"/>
      <c r="E10" s="4" t="s">
        <v>33</v>
      </c>
      <c r="F10" s="20" t="s">
        <v>25</v>
      </c>
      <c r="G10" s="6" t="s">
        <v>19</v>
      </c>
      <c r="H10" s="5"/>
      <c r="I10" s="5" t="s">
        <v>27</v>
      </c>
      <c r="J10" s="14"/>
      <c r="K10" s="7">
        <v>0.33333333333333331</v>
      </c>
      <c r="L10" s="7">
        <v>0.64583333333333337</v>
      </c>
      <c r="M10" s="7">
        <v>0.33333333333333331</v>
      </c>
      <c r="N10" s="7">
        <v>0.33333333333333331</v>
      </c>
      <c r="O10" s="7">
        <v>0.625</v>
      </c>
      <c r="P10" s="7">
        <v>0.35416666666666669</v>
      </c>
      <c r="Q10" s="7" t="s">
        <v>10</v>
      </c>
      <c r="R10" s="2">
        <f>COUNTIF(K10:Q10,"OFF")</f>
        <v>1</v>
      </c>
      <c r="S10" s="2">
        <f>COUNTIF(K10:Q10,"AL")</f>
        <v>0</v>
      </c>
      <c r="Z10" s="2" t="s">
        <v>16</v>
      </c>
    </row>
    <row r="11" spans="1:26" ht="15" customHeight="1" x14ac:dyDescent="0.3">
      <c r="A11" s="4">
        <f t="shared" si="3"/>
        <v>9</v>
      </c>
      <c r="B11" s="4" t="s">
        <v>70</v>
      </c>
      <c r="C11" s="4"/>
      <c r="D11" s="4"/>
      <c r="E11" s="4" t="s">
        <v>33</v>
      </c>
      <c r="F11" s="20" t="s">
        <v>25</v>
      </c>
      <c r="G11" s="6" t="s">
        <v>19</v>
      </c>
      <c r="H11" s="5"/>
      <c r="I11" s="5" t="s">
        <v>27</v>
      </c>
      <c r="J11" s="14"/>
      <c r="K11" s="7">
        <v>0.35416666666666669</v>
      </c>
      <c r="L11" s="7">
        <v>0.35416666666666669</v>
      </c>
      <c r="M11" s="7">
        <v>0.35416666666666669</v>
      </c>
      <c r="N11" s="7">
        <v>0.625</v>
      </c>
      <c r="O11" s="7">
        <v>0.35416666666666669</v>
      </c>
      <c r="P11" s="7">
        <v>0.625</v>
      </c>
      <c r="Q11" s="7" t="s">
        <v>10</v>
      </c>
      <c r="R11" s="2">
        <f>COUNTIF(K11:Q11,"OFF")</f>
        <v>1</v>
      </c>
      <c r="S11" s="2">
        <f>COUNTIF(K11:Q11,"AL")</f>
        <v>0</v>
      </c>
    </row>
    <row r="12" spans="1:26" ht="15" customHeight="1" x14ac:dyDescent="0.3">
      <c r="A12" s="4">
        <f t="shared" si="3"/>
        <v>10</v>
      </c>
      <c r="B12" s="4" t="s">
        <v>71</v>
      </c>
      <c r="C12" s="4"/>
      <c r="D12" s="4"/>
      <c r="E12" s="4" t="s">
        <v>33</v>
      </c>
      <c r="F12" s="20" t="s">
        <v>25</v>
      </c>
      <c r="G12" s="6" t="s">
        <v>19</v>
      </c>
      <c r="H12" s="5"/>
      <c r="I12" s="5" t="s">
        <v>27</v>
      </c>
      <c r="J12" s="14"/>
      <c r="K12" s="7">
        <v>0.64583333333333337</v>
      </c>
      <c r="L12" s="7">
        <v>0.33333333333333331</v>
      </c>
      <c r="M12" s="7">
        <v>0.35416666666666669</v>
      </c>
      <c r="N12" s="7">
        <v>0.64583333333333337</v>
      </c>
      <c r="O12" s="7">
        <v>0.625</v>
      </c>
      <c r="P12" s="7">
        <v>0.64583333333333337</v>
      </c>
      <c r="Q12" s="7" t="s">
        <v>10</v>
      </c>
      <c r="R12" s="2">
        <f>COUNTIF(K12:Q12,"OFF")</f>
        <v>1</v>
      </c>
      <c r="S12" s="2">
        <f>COUNTIF(K12:Q12,"AL")</f>
        <v>0</v>
      </c>
    </row>
    <row r="13" spans="1:26" ht="15" customHeight="1" x14ac:dyDescent="0.3">
      <c r="A13" s="4">
        <f t="shared" si="3"/>
        <v>11</v>
      </c>
      <c r="B13" s="4" t="s">
        <v>72</v>
      </c>
      <c r="C13" s="4"/>
      <c r="D13" s="4"/>
      <c r="E13" s="4" t="s">
        <v>33</v>
      </c>
      <c r="F13" s="20" t="s">
        <v>25</v>
      </c>
      <c r="G13" s="6" t="s">
        <v>19</v>
      </c>
      <c r="H13" s="5"/>
      <c r="I13" s="5" t="s">
        <v>27</v>
      </c>
      <c r="J13" s="14"/>
      <c r="K13" s="28">
        <v>0.625</v>
      </c>
      <c r="L13" s="7">
        <v>0.625</v>
      </c>
      <c r="M13" s="7">
        <v>0.64583333333333337</v>
      </c>
      <c r="N13" s="7">
        <v>0.35416666666666669</v>
      </c>
      <c r="O13" s="7">
        <v>0.625</v>
      </c>
      <c r="P13" s="7">
        <v>0.35416666666666669</v>
      </c>
      <c r="Q13" s="7" t="s">
        <v>10</v>
      </c>
      <c r="R13" s="2">
        <f>COUNTIF(K13:Q13,"OFF")</f>
        <v>1</v>
      </c>
      <c r="S13" s="2">
        <f>COUNTIF(K13:Q13,"AL")</f>
        <v>0</v>
      </c>
    </row>
    <row r="14" spans="1:26" ht="15" customHeight="1" x14ac:dyDescent="0.3">
      <c r="A14" s="4">
        <f t="shared" si="3"/>
        <v>12</v>
      </c>
      <c r="B14" s="4" t="s">
        <v>73</v>
      </c>
      <c r="C14" s="4"/>
      <c r="D14" s="4"/>
      <c r="E14" s="4" t="s">
        <v>33</v>
      </c>
      <c r="F14" s="20" t="s">
        <v>25</v>
      </c>
      <c r="G14" s="6" t="s">
        <v>19</v>
      </c>
      <c r="H14" s="5"/>
      <c r="I14" s="5" t="s">
        <v>29</v>
      </c>
      <c r="J14" s="14"/>
      <c r="K14" s="28">
        <v>0.33333333333333331</v>
      </c>
      <c r="L14" s="7">
        <v>0.35416666666666669</v>
      </c>
      <c r="M14" s="7">
        <v>0.35416666666666669</v>
      </c>
      <c r="N14" s="7">
        <v>0.33333333333333331</v>
      </c>
      <c r="O14" s="7">
        <v>0.35416666666666669</v>
      </c>
      <c r="P14" s="7">
        <v>0.625</v>
      </c>
      <c r="Q14" s="7" t="s">
        <v>10</v>
      </c>
      <c r="R14" s="2">
        <f t="shared" si="1"/>
        <v>1</v>
      </c>
      <c r="S14" s="2">
        <f t="shared" si="2"/>
        <v>0</v>
      </c>
    </row>
    <row r="15" spans="1:26" ht="15" customHeight="1" x14ac:dyDescent="0.3">
      <c r="A15" s="4">
        <f t="shared" si="3"/>
        <v>13</v>
      </c>
      <c r="B15" s="4" t="s">
        <v>74</v>
      </c>
      <c r="C15" s="4"/>
      <c r="D15" s="4"/>
      <c r="E15" s="4" t="s">
        <v>33</v>
      </c>
      <c r="F15" s="20" t="s">
        <v>25</v>
      </c>
      <c r="G15" s="6" t="s">
        <v>19</v>
      </c>
      <c r="H15" s="5"/>
      <c r="I15" s="5" t="s">
        <v>29</v>
      </c>
      <c r="J15" s="14" t="s">
        <v>35</v>
      </c>
      <c r="K15" s="7">
        <v>0.64583333333333337</v>
      </c>
      <c r="L15" s="7">
        <v>0.64583333333333337</v>
      </c>
      <c r="M15" s="7">
        <v>0.64583333333333337</v>
      </c>
      <c r="N15" s="7">
        <v>0.64583333333333337</v>
      </c>
      <c r="O15" s="7">
        <v>0.64583333333333337</v>
      </c>
      <c r="P15" s="7">
        <v>0.33333333333333331</v>
      </c>
      <c r="Q15" s="7" t="s">
        <v>10</v>
      </c>
      <c r="R15" s="2">
        <f t="shared" si="1"/>
        <v>1</v>
      </c>
      <c r="S15" s="2">
        <f t="shared" si="2"/>
        <v>0</v>
      </c>
    </row>
    <row r="16" spans="1:26" ht="15" customHeight="1" x14ac:dyDescent="0.3">
      <c r="A16" s="4">
        <f t="shared" si="3"/>
        <v>14</v>
      </c>
      <c r="B16" s="4" t="s">
        <v>75</v>
      </c>
      <c r="C16" s="4"/>
      <c r="D16" s="4"/>
      <c r="E16" s="4" t="s">
        <v>33</v>
      </c>
      <c r="F16" s="20" t="s">
        <v>25</v>
      </c>
      <c r="G16" s="6" t="s">
        <v>19</v>
      </c>
      <c r="H16" s="5"/>
      <c r="I16" s="5" t="s">
        <v>28</v>
      </c>
      <c r="J16" s="14" t="s">
        <v>35</v>
      </c>
      <c r="K16" s="7">
        <v>0.64583333333333337</v>
      </c>
      <c r="L16" s="7">
        <v>0.35416666666666669</v>
      </c>
      <c r="M16" s="7">
        <v>0.625</v>
      </c>
      <c r="N16" s="7">
        <v>0.64583333333333337</v>
      </c>
      <c r="O16" s="7">
        <v>0.64583333333333337</v>
      </c>
      <c r="P16" s="7">
        <v>0.35416666666666669</v>
      </c>
      <c r="Q16" s="7">
        <v>0.5</v>
      </c>
      <c r="R16" s="2">
        <f>COUNTIF(K16:Q16,"OFF")</f>
        <v>0</v>
      </c>
      <c r="S16" s="2">
        <f>COUNTIF(K16:Q16,"AL")</f>
        <v>0</v>
      </c>
    </row>
    <row r="17" spans="1:19" ht="15" customHeight="1" x14ac:dyDescent="0.3">
      <c r="A17" s="4">
        <f t="shared" si="3"/>
        <v>15</v>
      </c>
      <c r="B17" s="4" t="s">
        <v>76</v>
      </c>
      <c r="C17" s="4"/>
      <c r="D17" s="4"/>
      <c r="E17" s="4" t="s">
        <v>33</v>
      </c>
      <c r="F17" s="20" t="s">
        <v>25</v>
      </c>
      <c r="G17" s="6" t="s">
        <v>19</v>
      </c>
      <c r="H17" s="5"/>
      <c r="I17" s="5" t="s">
        <v>29</v>
      </c>
      <c r="J17" s="14" t="s">
        <v>35</v>
      </c>
      <c r="K17" s="7">
        <v>0.64583333333333337</v>
      </c>
      <c r="L17" s="7">
        <v>0.64583333333333337</v>
      </c>
      <c r="M17" s="7">
        <v>0.625</v>
      </c>
      <c r="N17" s="7">
        <v>0.35416666666666669</v>
      </c>
      <c r="O17" s="7">
        <v>0.35416666666666669</v>
      </c>
      <c r="P17" s="7">
        <v>0.625</v>
      </c>
      <c r="Q17" s="7">
        <v>0.41666666666666669</v>
      </c>
      <c r="R17" s="2">
        <f t="shared" si="1"/>
        <v>0</v>
      </c>
      <c r="S17" s="2">
        <f t="shared" si="2"/>
        <v>0</v>
      </c>
    </row>
    <row r="18" spans="1:19" ht="15" customHeight="1" x14ac:dyDescent="0.3">
      <c r="A18" s="4">
        <f t="shared" si="3"/>
        <v>16</v>
      </c>
      <c r="B18" s="4" t="s">
        <v>77</v>
      </c>
      <c r="C18" s="4"/>
      <c r="D18" s="4"/>
      <c r="E18" s="4" t="s">
        <v>33</v>
      </c>
      <c r="F18" s="20" t="s">
        <v>25</v>
      </c>
      <c r="G18" s="6" t="s">
        <v>19</v>
      </c>
      <c r="H18" s="5"/>
      <c r="I18" s="5" t="s">
        <v>28</v>
      </c>
      <c r="J18" s="14" t="s">
        <v>35</v>
      </c>
      <c r="K18" s="7">
        <v>0.625</v>
      </c>
      <c r="L18" s="7">
        <v>0.64583333333333337</v>
      </c>
      <c r="M18" s="7">
        <v>0.625</v>
      </c>
      <c r="N18" s="7">
        <v>0.625</v>
      </c>
      <c r="O18" s="7">
        <v>0.64583333333333337</v>
      </c>
      <c r="P18" s="7">
        <v>0.35416666666666669</v>
      </c>
      <c r="Q18" s="7" t="s">
        <v>10</v>
      </c>
      <c r="R18" s="2">
        <f t="shared" si="1"/>
        <v>1</v>
      </c>
      <c r="S18" s="2">
        <f t="shared" si="2"/>
        <v>0</v>
      </c>
    </row>
    <row r="19" spans="1:19" ht="15" customHeight="1" x14ac:dyDescent="0.3">
      <c r="A19" s="4">
        <f t="shared" si="3"/>
        <v>17</v>
      </c>
      <c r="B19" s="4" t="s">
        <v>78</v>
      </c>
      <c r="C19" s="4"/>
      <c r="D19" s="4"/>
      <c r="E19" s="4" t="s">
        <v>33</v>
      </c>
      <c r="F19" s="20" t="s">
        <v>25</v>
      </c>
      <c r="G19" s="6" t="s">
        <v>19</v>
      </c>
      <c r="H19" s="5"/>
      <c r="I19" s="5" t="s">
        <v>28</v>
      </c>
      <c r="J19" s="14" t="s">
        <v>35</v>
      </c>
      <c r="K19" s="7">
        <v>0.35416666666666669</v>
      </c>
      <c r="L19" s="7">
        <v>0.35416666666666669</v>
      </c>
      <c r="M19" s="7">
        <v>0.35416666666666669</v>
      </c>
      <c r="N19" s="7">
        <v>0.35416666666666669</v>
      </c>
      <c r="O19" s="7">
        <v>0.35416666666666669</v>
      </c>
      <c r="P19" s="7">
        <v>0.625</v>
      </c>
      <c r="Q19" s="7" t="s">
        <v>10</v>
      </c>
      <c r="R19" s="2">
        <f t="shared" si="1"/>
        <v>1</v>
      </c>
      <c r="S19" s="2">
        <f t="shared" si="2"/>
        <v>0</v>
      </c>
    </row>
    <row r="20" spans="1:19" ht="15" customHeight="1" x14ac:dyDescent="0.3">
      <c r="A20" s="4">
        <f t="shared" si="3"/>
        <v>18</v>
      </c>
      <c r="B20" s="4" t="s">
        <v>79</v>
      </c>
      <c r="C20" s="4"/>
      <c r="D20" s="4"/>
      <c r="E20" s="4" t="s">
        <v>33</v>
      </c>
      <c r="F20" s="20" t="s">
        <v>25</v>
      </c>
      <c r="G20" s="6" t="s">
        <v>19</v>
      </c>
      <c r="H20" s="5"/>
      <c r="I20" s="5" t="s">
        <v>27</v>
      </c>
      <c r="J20" s="14" t="s">
        <v>35</v>
      </c>
      <c r="K20" s="7">
        <v>0.35416666666666669</v>
      </c>
      <c r="L20" s="7">
        <v>0.625</v>
      </c>
      <c r="M20" s="7">
        <v>0.64583333333333337</v>
      </c>
      <c r="N20" s="7">
        <v>0.33333333333333331</v>
      </c>
      <c r="O20" s="7">
        <v>0.35416666666666669</v>
      </c>
      <c r="P20" s="7">
        <v>0.35416666666666669</v>
      </c>
      <c r="Q20" s="7" t="s">
        <v>10</v>
      </c>
      <c r="R20" s="2">
        <f t="shared" si="1"/>
        <v>1</v>
      </c>
      <c r="S20" s="2">
        <f t="shared" si="2"/>
        <v>0</v>
      </c>
    </row>
    <row r="21" spans="1:19" ht="15" customHeight="1" x14ac:dyDescent="0.3">
      <c r="A21" s="4">
        <f t="shared" si="3"/>
        <v>19</v>
      </c>
      <c r="B21" s="4" t="s">
        <v>80</v>
      </c>
      <c r="C21" s="4"/>
      <c r="D21" s="4"/>
      <c r="E21" s="4" t="s">
        <v>33</v>
      </c>
      <c r="F21" s="20" t="s">
        <v>25</v>
      </c>
      <c r="G21" s="6" t="s">
        <v>19</v>
      </c>
      <c r="H21" s="5"/>
      <c r="I21" s="5" t="s">
        <v>28</v>
      </c>
      <c r="J21" s="14" t="s">
        <v>35</v>
      </c>
      <c r="K21" s="7">
        <v>0.35416666666666669</v>
      </c>
      <c r="L21" s="7">
        <v>0.35416666666666669</v>
      </c>
      <c r="M21" s="7">
        <v>0.35416666666666669</v>
      </c>
      <c r="N21" s="7">
        <v>0.625</v>
      </c>
      <c r="O21" s="7">
        <v>0.64583333333333337</v>
      </c>
      <c r="P21" s="7">
        <v>0.64583333333333337</v>
      </c>
      <c r="Q21" s="7">
        <v>0.54166666666666663</v>
      </c>
      <c r="R21" s="2">
        <f>COUNTIF(K21:Q21,"OFF")</f>
        <v>0</v>
      </c>
      <c r="S21" s="2">
        <f>COUNTIF(K21:Q21,"AL")</f>
        <v>0</v>
      </c>
    </row>
    <row r="22" spans="1:19" ht="15" customHeight="1" x14ac:dyDescent="0.3">
      <c r="A22" s="4">
        <f>A26+1</f>
        <v>25</v>
      </c>
      <c r="B22" s="4" t="s">
        <v>81</v>
      </c>
      <c r="C22" s="4"/>
      <c r="D22" s="4"/>
      <c r="E22" s="4" t="s">
        <v>33</v>
      </c>
      <c r="F22" s="20" t="s">
        <v>25</v>
      </c>
      <c r="G22" s="6" t="s">
        <v>19</v>
      </c>
      <c r="H22" s="5"/>
      <c r="I22" s="5" t="s">
        <v>27</v>
      </c>
      <c r="J22" s="14" t="s">
        <v>35</v>
      </c>
      <c r="K22" s="7">
        <v>0.625</v>
      </c>
      <c r="L22" s="7">
        <v>0.35416666666666669</v>
      </c>
      <c r="M22" s="7">
        <v>0.35416666666666669</v>
      </c>
      <c r="N22" s="7">
        <v>0.625</v>
      </c>
      <c r="O22" s="7">
        <v>0.64583333333333337</v>
      </c>
      <c r="P22" s="7">
        <v>0.33333333333333331</v>
      </c>
      <c r="Q22" s="7" t="s">
        <v>10</v>
      </c>
      <c r="R22" s="2">
        <f>COUNTIF(K22:Q22,"OFF")</f>
        <v>1</v>
      </c>
      <c r="S22" s="2">
        <f>COUNTIF(K22:Q22,"AL")</f>
        <v>0</v>
      </c>
    </row>
    <row r="23" spans="1:19" ht="15" customHeight="1" x14ac:dyDescent="0.3">
      <c r="A23" s="4">
        <f>A24+1</f>
        <v>21</v>
      </c>
      <c r="B23" s="4" t="s">
        <v>82</v>
      </c>
      <c r="C23" s="4"/>
      <c r="D23" s="4"/>
      <c r="E23" s="4" t="s">
        <v>33</v>
      </c>
      <c r="F23" s="20" t="s">
        <v>25</v>
      </c>
      <c r="G23" s="6" t="s">
        <v>19</v>
      </c>
      <c r="H23" s="5"/>
      <c r="I23" s="5" t="s">
        <v>27</v>
      </c>
      <c r="J23" s="14" t="s">
        <v>35</v>
      </c>
      <c r="K23" s="7">
        <v>0.35416666666666669</v>
      </c>
      <c r="L23" s="7">
        <v>0.625</v>
      </c>
      <c r="M23" s="7">
        <v>0.64583333333333337</v>
      </c>
      <c r="N23" s="7">
        <v>0.64583333333333337</v>
      </c>
      <c r="O23" s="7">
        <v>0.33333333333333331</v>
      </c>
      <c r="P23" s="7">
        <v>0.33333333333333331</v>
      </c>
      <c r="Q23" s="7" t="s">
        <v>10</v>
      </c>
      <c r="R23" s="2">
        <f t="shared" si="1"/>
        <v>1</v>
      </c>
      <c r="S23" s="2">
        <f t="shared" si="2"/>
        <v>0</v>
      </c>
    </row>
    <row r="24" spans="1:19" ht="15" customHeight="1" x14ac:dyDescent="0.3">
      <c r="A24" s="4">
        <f>A21+1</f>
        <v>20</v>
      </c>
      <c r="B24" s="4" t="s">
        <v>83</v>
      </c>
      <c r="C24" s="4"/>
      <c r="D24" s="4"/>
      <c r="E24" s="4" t="s">
        <v>33</v>
      </c>
      <c r="F24" s="20" t="s">
        <v>25</v>
      </c>
      <c r="G24" s="6" t="s">
        <v>19</v>
      </c>
      <c r="H24" s="5"/>
      <c r="I24" s="5" t="s">
        <v>27</v>
      </c>
      <c r="J24" s="14" t="s">
        <v>35</v>
      </c>
      <c r="K24" s="7">
        <v>0.64583333333333337</v>
      </c>
      <c r="L24" s="7">
        <v>0.35416666666666669</v>
      </c>
      <c r="M24" s="7">
        <v>0.35416666666666669</v>
      </c>
      <c r="N24" s="7">
        <v>0.35416666666666669</v>
      </c>
      <c r="O24" s="7">
        <v>0.625</v>
      </c>
      <c r="P24" s="7">
        <v>0.64583333333333337</v>
      </c>
      <c r="Q24" s="7" t="s">
        <v>10</v>
      </c>
      <c r="R24" s="2">
        <f>COUNTIF(K24:Q24,"OFF")</f>
        <v>1</v>
      </c>
      <c r="S24" s="2">
        <f>COUNTIF(K24:Q24,"AL")</f>
        <v>0</v>
      </c>
    </row>
    <row r="25" spans="1:19" ht="15" customHeight="1" x14ac:dyDescent="0.3">
      <c r="A25" s="4">
        <f>A29+1</f>
        <v>23</v>
      </c>
      <c r="B25" s="4" t="s">
        <v>84</v>
      </c>
      <c r="C25" s="4"/>
      <c r="D25" s="4"/>
      <c r="E25" s="4" t="s">
        <v>33</v>
      </c>
      <c r="F25" s="20" t="s">
        <v>25</v>
      </c>
      <c r="G25" s="6" t="s">
        <v>19</v>
      </c>
      <c r="H25" s="5"/>
      <c r="I25" s="5" t="s">
        <v>27</v>
      </c>
      <c r="J25" s="14" t="s">
        <v>35</v>
      </c>
      <c r="K25" s="7">
        <v>0.35416666666666669</v>
      </c>
      <c r="L25" s="7">
        <v>0.64583333333333337</v>
      </c>
      <c r="M25" s="7">
        <v>0.625</v>
      </c>
      <c r="N25" s="7">
        <v>0.64583333333333337</v>
      </c>
      <c r="O25" s="7">
        <v>0.33333333333333331</v>
      </c>
      <c r="P25" s="7">
        <v>0.35416666666666669</v>
      </c>
      <c r="Q25" s="7" t="s">
        <v>10</v>
      </c>
      <c r="R25" s="2">
        <f t="shared" si="1"/>
        <v>1</v>
      </c>
      <c r="S25" s="2">
        <f t="shared" si="2"/>
        <v>0</v>
      </c>
    </row>
    <row r="26" spans="1:19" ht="15" customHeight="1" x14ac:dyDescent="0.3">
      <c r="A26" s="4">
        <f t="shared" si="3"/>
        <v>24</v>
      </c>
      <c r="B26" s="4" t="s">
        <v>85</v>
      </c>
      <c r="C26" s="4"/>
      <c r="D26" s="4"/>
      <c r="E26" s="4" t="s">
        <v>33</v>
      </c>
      <c r="F26" s="20" t="s">
        <v>25</v>
      </c>
      <c r="G26" s="6" t="s">
        <v>19</v>
      </c>
      <c r="H26" s="5"/>
      <c r="I26" s="5" t="s">
        <v>27</v>
      </c>
      <c r="J26" s="14" t="s">
        <v>35</v>
      </c>
      <c r="K26" s="7">
        <v>0.35416666666666669</v>
      </c>
      <c r="L26" s="7">
        <v>0.35416666666666669</v>
      </c>
      <c r="M26" s="7">
        <v>0.64583333333333337</v>
      </c>
      <c r="N26" s="7">
        <v>0.64583333333333337</v>
      </c>
      <c r="O26" s="7">
        <v>0.35416666666666669</v>
      </c>
      <c r="P26" s="7">
        <v>0.625</v>
      </c>
      <c r="Q26" s="7" t="s">
        <v>10</v>
      </c>
      <c r="R26" s="2">
        <f t="shared" si="1"/>
        <v>1</v>
      </c>
      <c r="S26" s="2">
        <f t="shared" si="2"/>
        <v>0</v>
      </c>
    </row>
    <row r="27" spans="1:19" ht="15" customHeight="1" x14ac:dyDescent="0.3">
      <c r="A27" s="4">
        <f>A31+1</f>
        <v>29</v>
      </c>
      <c r="B27" s="4" t="s">
        <v>86</v>
      </c>
      <c r="C27" s="4"/>
      <c r="D27" s="4"/>
      <c r="E27" s="4" t="s">
        <v>33</v>
      </c>
      <c r="F27" s="20" t="s">
        <v>25</v>
      </c>
      <c r="G27" s="6" t="s">
        <v>19</v>
      </c>
      <c r="H27" s="5"/>
      <c r="I27" s="5" t="s">
        <v>27</v>
      </c>
      <c r="J27" s="14" t="s">
        <v>35</v>
      </c>
      <c r="K27" s="7">
        <v>0.625</v>
      </c>
      <c r="L27" s="7">
        <v>0.64583333333333337</v>
      </c>
      <c r="M27" s="7">
        <v>0.625</v>
      </c>
      <c r="N27" s="7">
        <v>0.35416666666666669</v>
      </c>
      <c r="O27" s="7">
        <v>0.625</v>
      </c>
      <c r="P27" s="7">
        <v>0.35416666666666669</v>
      </c>
      <c r="Q27" s="7" t="s">
        <v>10</v>
      </c>
      <c r="R27" s="2">
        <f>COUNTIF(K27:Q27,"OFF")</f>
        <v>1</v>
      </c>
      <c r="S27" s="2">
        <f>COUNTIF(K27:Q27,"AL")</f>
        <v>0</v>
      </c>
    </row>
    <row r="28" spans="1:19" ht="15" customHeight="1" x14ac:dyDescent="0.3">
      <c r="A28" s="4">
        <f>A22+1</f>
        <v>26</v>
      </c>
      <c r="B28" s="4" t="s">
        <v>87</v>
      </c>
      <c r="C28" s="4"/>
      <c r="D28" s="4"/>
      <c r="E28" s="4" t="s">
        <v>33</v>
      </c>
      <c r="F28" s="20" t="s">
        <v>25</v>
      </c>
      <c r="G28" s="6" t="s">
        <v>19</v>
      </c>
      <c r="H28" s="5"/>
      <c r="I28" s="5" t="s">
        <v>27</v>
      </c>
      <c r="J28" s="14" t="s">
        <v>35</v>
      </c>
      <c r="K28" s="7">
        <v>0.35416666666666669</v>
      </c>
      <c r="L28" s="7">
        <v>0.35416666666666669</v>
      </c>
      <c r="M28" s="7">
        <v>0.33333333333333331</v>
      </c>
      <c r="N28" s="7">
        <v>0.64583333333333337</v>
      </c>
      <c r="O28" s="7">
        <v>0.64583333333333337</v>
      </c>
      <c r="P28" s="7">
        <v>0.625</v>
      </c>
      <c r="Q28" s="7">
        <v>0.54166666666666663</v>
      </c>
      <c r="R28" s="2">
        <f t="shared" si="1"/>
        <v>0</v>
      </c>
      <c r="S28" s="2">
        <f t="shared" si="2"/>
        <v>0</v>
      </c>
    </row>
    <row r="29" spans="1:19" ht="15" customHeight="1" x14ac:dyDescent="0.3">
      <c r="A29" s="4">
        <f>A23+1</f>
        <v>22</v>
      </c>
      <c r="B29" s="4" t="s">
        <v>88</v>
      </c>
      <c r="C29" s="4"/>
      <c r="D29" s="4"/>
      <c r="E29" s="4" t="s">
        <v>33</v>
      </c>
      <c r="F29" s="20" t="s">
        <v>25</v>
      </c>
      <c r="G29" s="6" t="s">
        <v>19</v>
      </c>
      <c r="H29" s="5"/>
      <c r="I29" s="5" t="s">
        <v>27</v>
      </c>
      <c r="J29" s="14" t="s">
        <v>35</v>
      </c>
      <c r="K29" s="7">
        <v>0.35416666666666669</v>
      </c>
      <c r="L29" s="7">
        <v>0.35416666666666669</v>
      </c>
      <c r="M29" s="7">
        <v>0.35416666666666669</v>
      </c>
      <c r="N29" s="7">
        <v>0.64583333333333337</v>
      </c>
      <c r="O29" s="7">
        <v>0.64583333333333337</v>
      </c>
      <c r="P29" s="7">
        <v>0.625</v>
      </c>
      <c r="Q29" s="7">
        <v>0.41666666666666669</v>
      </c>
      <c r="R29" s="2">
        <f>COUNTIF(K29:Q29,"OFF")</f>
        <v>0</v>
      </c>
      <c r="S29" s="2">
        <f>COUNTIF(K29:Q29,"AL")</f>
        <v>0</v>
      </c>
    </row>
    <row r="30" spans="1:19" ht="15" customHeight="1" x14ac:dyDescent="0.3">
      <c r="A30" s="4">
        <f>A28+1</f>
        <v>27</v>
      </c>
      <c r="B30" s="4" t="s">
        <v>89</v>
      </c>
      <c r="C30" s="4"/>
      <c r="D30" s="4"/>
      <c r="E30" s="4" t="s">
        <v>33</v>
      </c>
      <c r="F30" s="20" t="s">
        <v>25</v>
      </c>
      <c r="G30" s="6" t="s">
        <v>19</v>
      </c>
      <c r="H30" s="5"/>
      <c r="I30" s="5" t="s">
        <v>27</v>
      </c>
      <c r="J30" s="14" t="s">
        <v>35</v>
      </c>
      <c r="K30" s="7">
        <v>0.64583333333333337</v>
      </c>
      <c r="L30" s="7">
        <v>0.625</v>
      </c>
      <c r="M30" s="7">
        <v>0.33333333333333331</v>
      </c>
      <c r="N30" s="7">
        <v>0.33333333333333331</v>
      </c>
      <c r="O30" s="7" t="s">
        <v>21</v>
      </c>
      <c r="P30" s="7" t="s">
        <v>21</v>
      </c>
      <c r="Q30" s="7" t="s">
        <v>10</v>
      </c>
      <c r="R30" s="2">
        <f t="shared" si="1"/>
        <v>1</v>
      </c>
      <c r="S30" s="2">
        <f t="shared" si="2"/>
        <v>2</v>
      </c>
    </row>
    <row r="31" spans="1:19" ht="15" customHeight="1" x14ac:dyDescent="0.3">
      <c r="A31" s="4">
        <f t="shared" si="3"/>
        <v>28</v>
      </c>
      <c r="B31" s="4" t="s">
        <v>90</v>
      </c>
      <c r="C31" s="4"/>
      <c r="D31" s="4"/>
      <c r="E31" s="4" t="s">
        <v>33</v>
      </c>
      <c r="F31" s="20" t="s">
        <v>25</v>
      </c>
      <c r="G31" s="6" t="s">
        <v>19</v>
      </c>
      <c r="H31" s="5"/>
      <c r="I31" s="5" t="s">
        <v>27</v>
      </c>
      <c r="J31" s="14" t="s">
        <v>35</v>
      </c>
      <c r="K31" s="7">
        <v>0.625</v>
      </c>
      <c r="L31" s="7">
        <v>0.625</v>
      </c>
      <c r="M31" s="7">
        <v>0.64583333333333337</v>
      </c>
      <c r="N31" s="7">
        <v>0.35416666666666669</v>
      </c>
      <c r="O31" s="7">
        <v>0.35416666666666669</v>
      </c>
      <c r="P31" s="7">
        <v>0.33333333333333331</v>
      </c>
      <c r="Q31" s="7">
        <v>0.5</v>
      </c>
      <c r="R31" s="2">
        <f t="shared" si="1"/>
        <v>0</v>
      </c>
      <c r="S31" s="2">
        <f t="shared" si="2"/>
        <v>0</v>
      </c>
    </row>
    <row r="32" spans="1:19" ht="15" customHeight="1" x14ac:dyDescent="0.3">
      <c r="A32" s="4">
        <f>A27+1</f>
        <v>30</v>
      </c>
      <c r="B32" s="4" t="s">
        <v>91</v>
      </c>
      <c r="C32" s="4"/>
      <c r="D32" s="4"/>
      <c r="E32" s="4" t="s">
        <v>33</v>
      </c>
      <c r="F32" s="20" t="s">
        <v>25</v>
      </c>
      <c r="G32" s="6" t="s">
        <v>20</v>
      </c>
      <c r="H32" s="5"/>
      <c r="I32" s="5" t="s">
        <v>27</v>
      </c>
      <c r="J32" s="14"/>
      <c r="K32" s="7" t="s">
        <v>21</v>
      </c>
      <c r="L32" s="7" t="s">
        <v>21</v>
      </c>
      <c r="M32" s="7">
        <v>0.66666666666666663</v>
      </c>
      <c r="N32" s="7">
        <v>0.66666666666666663</v>
      </c>
      <c r="O32" s="7">
        <v>0.66666666666666663</v>
      </c>
      <c r="P32" s="7">
        <v>0.66666666666666663</v>
      </c>
      <c r="Q32" s="7" t="s">
        <v>10</v>
      </c>
      <c r="R32" s="2">
        <f t="shared" si="1"/>
        <v>1</v>
      </c>
      <c r="S32" s="2">
        <f t="shared" si="2"/>
        <v>2</v>
      </c>
    </row>
    <row r="33" spans="1:22" ht="15" customHeight="1" x14ac:dyDescent="0.3">
      <c r="A33" s="4">
        <f t="shared" si="3"/>
        <v>31</v>
      </c>
      <c r="B33" s="4" t="s">
        <v>92</v>
      </c>
      <c r="C33" s="4"/>
      <c r="D33" s="4"/>
      <c r="E33" s="4" t="s">
        <v>33</v>
      </c>
      <c r="F33" s="20" t="s">
        <v>25</v>
      </c>
      <c r="G33" s="6" t="s">
        <v>20</v>
      </c>
      <c r="H33" s="5"/>
      <c r="I33" s="5" t="s">
        <v>29</v>
      </c>
      <c r="J33" s="14"/>
      <c r="K33" s="7">
        <v>0.66666666666666663</v>
      </c>
      <c r="L33" s="7">
        <v>0.66666666666666663</v>
      </c>
      <c r="M33" s="7">
        <v>0.66666666666666663</v>
      </c>
      <c r="N33" s="7">
        <v>0.66666666666666663</v>
      </c>
      <c r="O33" s="7">
        <v>0.41666666666666669</v>
      </c>
      <c r="P33" s="7">
        <v>0.375</v>
      </c>
      <c r="Q33" s="7" t="s">
        <v>10</v>
      </c>
      <c r="R33" s="2">
        <f t="shared" si="1"/>
        <v>1</v>
      </c>
      <c r="S33" s="2">
        <f t="shared" si="2"/>
        <v>0</v>
      </c>
    </row>
    <row r="34" spans="1:22" ht="15" customHeight="1" x14ac:dyDescent="0.3">
      <c r="A34" s="4">
        <f t="shared" si="3"/>
        <v>32</v>
      </c>
      <c r="B34" s="4" t="s">
        <v>93</v>
      </c>
      <c r="C34" s="4"/>
      <c r="D34" s="4"/>
      <c r="E34" s="4" t="s">
        <v>33</v>
      </c>
      <c r="F34" s="20" t="s">
        <v>25</v>
      </c>
      <c r="G34" s="6" t="s">
        <v>20</v>
      </c>
      <c r="H34" s="5"/>
      <c r="I34" s="5" t="s">
        <v>27</v>
      </c>
      <c r="J34" s="14"/>
      <c r="K34" s="7">
        <v>0.66666666666666663</v>
      </c>
      <c r="L34" s="7">
        <v>0.66666666666666663</v>
      </c>
      <c r="M34" s="7">
        <v>0.41666666666666669</v>
      </c>
      <c r="N34" s="7">
        <v>0.375</v>
      </c>
      <c r="O34" s="7">
        <v>0.66666666666666663</v>
      </c>
      <c r="P34" s="7">
        <v>0.66666666666666663</v>
      </c>
      <c r="Q34" s="7">
        <v>0.54166666666666663</v>
      </c>
      <c r="R34" s="2">
        <f t="shared" si="1"/>
        <v>0</v>
      </c>
      <c r="S34" s="2">
        <f t="shared" si="2"/>
        <v>0</v>
      </c>
    </row>
    <row r="35" spans="1:22" ht="15" customHeight="1" x14ac:dyDescent="0.3">
      <c r="A35" s="4">
        <f t="shared" si="3"/>
        <v>33</v>
      </c>
      <c r="B35" s="4" t="s">
        <v>94</v>
      </c>
      <c r="C35" s="4"/>
      <c r="D35" s="4"/>
      <c r="E35" s="4" t="s">
        <v>33</v>
      </c>
      <c r="F35" s="20" t="s">
        <v>25</v>
      </c>
      <c r="G35" s="6" t="s">
        <v>20</v>
      </c>
      <c r="H35" s="5"/>
      <c r="I35" s="5" t="s">
        <v>29</v>
      </c>
      <c r="J35" s="14"/>
      <c r="K35" s="7">
        <v>0.375</v>
      </c>
      <c r="L35" s="7">
        <v>0.66666666666666663</v>
      </c>
      <c r="M35" s="7">
        <v>0.66666666666666663</v>
      </c>
      <c r="N35" s="7">
        <v>0.66666666666666663</v>
      </c>
      <c r="O35" s="7">
        <v>0.66666666666666663</v>
      </c>
      <c r="P35" s="7">
        <v>0.66666666666666663</v>
      </c>
      <c r="Q35" s="7" t="s">
        <v>10</v>
      </c>
      <c r="R35" s="2">
        <f t="shared" si="1"/>
        <v>1</v>
      </c>
      <c r="S35" s="2">
        <f t="shared" si="2"/>
        <v>0</v>
      </c>
    </row>
    <row r="36" spans="1:22" ht="15" customHeight="1" x14ac:dyDescent="0.3">
      <c r="A36" s="4">
        <f t="shared" si="3"/>
        <v>34</v>
      </c>
      <c r="B36" s="4" t="s">
        <v>95</v>
      </c>
      <c r="C36" s="4"/>
      <c r="D36" s="4"/>
      <c r="E36" s="4" t="s">
        <v>33</v>
      </c>
      <c r="F36" s="20" t="s">
        <v>25</v>
      </c>
      <c r="G36" s="6" t="s">
        <v>20</v>
      </c>
      <c r="H36" s="5"/>
      <c r="I36" s="5" t="s">
        <v>29</v>
      </c>
      <c r="J36" s="14"/>
      <c r="K36" s="7">
        <v>0.66666666666666663</v>
      </c>
      <c r="L36" s="7">
        <v>0.66666666666666663</v>
      </c>
      <c r="M36" s="7">
        <v>0.375</v>
      </c>
      <c r="N36" s="7">
        <v>0.375</v>
      </c>
      <c r="O36" s="7">
        <v>0.66666666666666663</v>
      </c>
      <c r="P36" s="7">
        <v>0.66666666666666663</v>
      </c>
      <c r="Q36" s="7" t="s">
        <v>10</v>
      </c>
      <c r="R36" s="2">
        <f t="shared" si="1"/>
        <v>1</v>
      </c>
      <c r="S36" s="2">
        <f t="shared" si="2"/>
        <v>0</v>
      </c>
    </row>
    <row r="37" spans="1:22" ht="15" customHeight="1" x14ac:dyDescent="0.3">
      <c r="A37" s="4">
        <f t="shared" si="3"/>
        <v>35</v>
      </c>
      <c r="B37" s="4" t="s">
        <v>96</v>
      </c>
      <c r="C37" s="4"/>
      <c r="D37" s="4"/>
      <c r="E37" s="4" t="s">
        <v>33</v>
      </c>
      <c r="F37" s="20" t="s">
        <v>25</v>
      </c>
      <c r="G37" s="6" t="s">
        <v>20</v>
      </c>
      <c r="H37" s="5"/>
      <c r="I37" s="5" t="s">
        <v>29</v>
      </c>
      <c r="J37" s="14"/>
      <c r="K37" s="28">
        <v>0.66666666666666663</v>
      </c>
      <c r="L37" s="7">
        <v>0.41666666666666669</v>
      </c>
      <c r="M37" s="7">
        <v>0.66666666666666663</v>
      </c>
      <c r="N37" s="7">
        <v>0.66666666666666663</v>
      </c>
      <c r="O37" s="7">
        <v>0.66666666666666663</v>
      </c>
      <c r="P37" s="7">
        <v>0.66666666666666663</v>
      </c>
      <c r="Q37" s="7" t="s">
        <v>10</v>
      </c>
      <c r="R37" s="2">
        <f t="shared" si="1"/>
        <v>1</v>
      </c>
      <c r="S37" s="2">
        <f t="shared" si="2"/>
        <v>0</v>
      </c>
      <c r="T37"/>
      <c r="U37"/>
      <c r="V37"/>
    </row>
    <row r="38" spans="1:22" ht="15" customHeight="1" x14ac:dyDescent="0.3">
      <c r="A38" s="4">
        <f t="shared" si="3"/>
        <v>36</v>
      </c>
      <c r="B38" s="4" t="s">
        <v>97</v>
      </c>
      <c r="C38" s="4"/>
      <c r="D38" s="4"/>
      <c r="E38" s="4" t="s">
        <v>33</v>
      </c>
      <c r="F38" s="20" t="s">
        <v>25</v>
      </c>
      <c r="G38" s="6" t="s">
        <v>20</v>
      </c>
      <c r="H38" s="5"/>
      <c r="I38" s="5" t="s">
        <v>29</v>
      </c>
      <c r="J38" s="14" t="s">
        <v>35</v>
      </c>
      <c r="K38" s="28">
        <v>0.41666666666666669</v>
      </c>
      <c r="L38" s="7">
        <v>0.41666666666666669</v>
      </c>
      <c r="M38" s="7">
        <v>0.375</v>
      </c>
      <c r="N38" s="7">
        <v>0.66666666666666663</v>
      </c>
      <c r="O38" s="7">
        <v>0.66666666666666663</v>
      </c>
      <c r="P38" s="7">
        <v>0.41666666666666669</v>
      </c>
      <c r="Q38" s="7" t="s">
        <v>10</v>
      </c>
      <c r="R38" s="2">
        <f t="shared" si="1"/>
        <v>1</v>
      </c>
      <c r="S38" s="2">
        <f t="shared" si="2"/>
        <v>0</v>
      </c>
    </row>
    <row r="39" spans="1:22" ht="15" customHeight="1" x14ac:dyDescent="0.3">
      <c r="A39" s="4">
        <f t="shared" si="3"/>
        <v>37</v>
      </c>
      <c r="B39" s="4" t="s">
        <v>98</v>
      </c>
      <c r="C39" s="4"/>
      <c r="D39" s="4"/>
      <c r="E39" s="4" t="s">
        <v>33</v>
      </c>
      <c r="F39" s="20" t="s">
        <v>25</v>
      </c>
      <c r="G39" s="6" t="s">
        <v>20</v>
      </c>
      <c r="H39" s="5"/>
      <c r="I39" s="5" t="s">
        <v>29</v>
      </c>
      <c r="J39" s="14"/>
      <c r="K39" s="7">
        <v>0.66666666666666663</v>
      </c>
      <c r="L39" s="7">
        <v>0.66666666666666663</v>
      </c>
      <c r="M39" s="7">
        <v>0.66666666666666663</v>
      </c>
      <c r="N39" s="7">
        <v>0.41666666666666669</v>
      </c>
      <c r="O39" s="7">
        <v>0.41666666666666669</v>
      </c>
      <c r="P39" s="7">
        <v>0.66666666666666663</v>
      </c>
      <c r="Q39" s="7" t="s">
        <v>10</v>
      </c>
      <c r="R39" s="2">
        <f t="shared" si="1"/>
        <v>1</v>
      </c>
      <c r="S39" s="2">
        <f t="shared" si="2"/>
        <v>0</v>
      </c>
    </row>
    <row r="40" spans="1:22" ht="15" customHeight="1" x14ac:dyDescent="0.3">
      <c r="A40" s="4">
        <f t="shared" si="3"/>
        <v>38</v>
      </c>
      <c r="B40" s="4" t="s">
        <v>99</v>
      </c>
      <c r="C40" s="4"/>
      <c r="D40" s="4"/>
      <c r="E40" s="4" t="s">
        <v>33</v>
      </c>
      <c r="F40" s="20" t="s">
        <v>25</v>
      </c>
      <c r="G40" s="6" t="s">
        <v>20</v>
      </c>
      <c r="H40" s="5"/>
      <c r="I40" s="5" t="s">
        <v>29</v>
      </c>
      <c r="J40" s="14"/>
      <c r="K40" s="7">
        <v>0.66666666666666663</v>
      </c>
      <c r="L40" s="7">
        <v>0.66666666666666663</v>
      </c>
      <c r="M40" s="7">
        <v>0.66666666666666663</v>
      </c>
      <c r="N40" s="7">
        <v>0.66666666666666663</v>
      </c>
      <c r="O40" s="7">
        <v>0.375</v>
      </c>
      <c r="P40" s="7">
        <v>0.41666666666666669</v>
      </c>
      <c r="Q40" s="7" t="s">
        <v>10</v>
      </c>
      <c r="R40" s="2">
        <f t="shared" si="1"/>
        <v>1</v>
      </c>
      <c r="S40" s="2">
        <f t="shared" si="2"/>
        <v>0</v>
      </c>
    </row>
    <row r="41" spans="1:22" x14ac:dyDescent="0.3">
      <c r="A41" s="4">
        <f t="shared" si="3"/>
        <v>39</v>
      </c>
      <c r="B41" s="4" t="s">
        <v>100</v>
      </c>
      <c r="C41" s="4"/>
      <c r="D41" s="4"/>
      <c r="E41" s="4" t="s">
        <v>33</v>
      </c>
      <c r="F41" s="20" t="s">
        <v>25</v>
      </c>
      <c r="G41" s="6" t="s">
        <v>20</v>
      </c>
      <c r="H41" s="5"/>
      <c r="I41" s="5" t="s">
        <v>29</v>
      </c>
      <c r="J41" s="14"/>
      <c r="K41" s="7">
        <v>0.35416666666666669</v>
      </c>
      <c r="L41" s="7">
        <v>0.375</v>
      </c>
      <c r="M41" s="7">
        <v>0.66666666666666663</v>
      </c>
      <c r="N41" s="7">
        <v>0.66666666666666663</v>
      </c>
      <c r="O41" s="7">
        <v>0.66666666666666663</v>
      </c>
      <c r="P41" s="7">
        <v>0.66666666666666663</v>
      </c>
      <c r="Q41" s="7" t="s">
        <v>10</v>
      </c>
      <c r="R41" s="2">
        <f t="shared" si="1"/>
        <v>1</v>
      </c>
      <c r="S41" s="2">
        <f t="shared" si="2"/>
        <v>0</v>
      </c>
    </row>
    <row r="42" spans="1:22" x14ac:dyDescent="0.3">
      <c r="A42" s="4">
        <f t="shared" si="3"/>
        <v>40</v>
      </c>
      <c r="B42" s="4" t="s">
        <v>101</v>
      </c>
      <c r="C42" s="4"/>
      <c r="D42" s="4"/>
      <c r="E42" s="4" t="s">
        <v>33</v>
      </c>
      <c r="F42" s="20" t="s">
        <v>25</v>
      </c>
      <c r="G42" s="6" t="s">
        <v>20</v>
      </c>
      <c r="H42" s="5"/>
      <c r="I42" s="5" t="s">
        <v>29</v>
      </c>
      <c r="J42" s="14"/>
      <c r="K42" s="7">
        <v>0.66666666666666663</v>
      </c>
      <c r="L42" s="7">
        <v>0.66666666666666663</v>
      </c>
      <c r="M42" s="7">
        <v>0.66666666666666663</v>
      </c>
      <c r="N42" s="7">
        <v>0.41666666666666669</v>
      </c>
      <c r="O42" s="7">
        <v>0.375</v>
      </c>
      <c r="P42" s="7">
        <v>0.66666666666666663</v>
      </c>
      <c r="Q42" s="7" t="s">
        <v>10</v>
      </c>
      <c r="R42" s="2">
        <f t="shared" si="1"/>
        <v>1</v>
      </c>
      <c r="S42" s="2">
        <f t="shared" si="2"/>
        <v>0</v>
      </c>
    </row>
    <row r="43" spans="1:22" x14ac:dyDescent="0.3">
      <c r="A43" s="4"/>
      <c r="B43" s="4"/>
      <c r="C43" s="4"/>
      <c r="D43" s="4"/>
      <c r="E43" s="4"/>
      <c r="F43" s="20"/>
      <c r="G43" s="6"/>
      <c r="H43" s="5"/>
      <c r="I43" s="5"/>
      <c r="J43" s="14"/>
      <c r="K43" s="7"/>
      <c r="L43" s="7"/>
      <c r="M43" s="7"/>
      <c r="N43" s="7"/>
      <c r="O43" s="7"/>
      <c r="P43" s="7"/>
      <c r="Q43" s="7"/>
    </row>
    <row r="44" spans="1:22" x14ac:dyDescent="0.3">
      <c r="A44" s="4"/>
      <c r="B44" s="4"/>
      <c r="C44" s="4"/>
      <c r="D44" s="4"/>
      <c r="E44" s="4"/>
      <c r="F44" s="20"/>
      <c r="G44" s="6"/>
      <c r="H44" s="5"/>
      <c r="I44" s="5"/>
      <c r="J44" s="14"/>
      <c r="K44" s="7"/>
      <c r="L44" s="7"/>
      <c r="M44" s="7"/>
      <c r="N44" s="7"/>
      <c r="O44" s="7"/>
      <c r="P44" s="7"/>
      <c r="Q44" s="7"/>
    </row>
    <row r="45" spans="1:22" x14ac:dyDescent="0.3">
      <c r="A45" s="4"/>
      <c r="B45" s="4"/>
      <c r="C45" s="4"/>
      <c r="D45" s="4"/>
      <c r="E45" s="4"/>
      <c r="F45" s="5"/>
      <c r="G45" s="6"/>
      <c r="H45" s="9"/>
      <c r="I45" s="5"/>
      <c r="J45" s="14"/>
      <c r="K45" s="7"/>
      <c r="L45" s="7"/>
      <c r="M45" s="7"/>
      <c r="N45" s="7"/>
      <c r="O45" s="7"/>
      <c r="P45" s="7"/>
      <c r="Q45" s="7"/>
      <c r="R45" s="2">
        <f>COUNTIF(K45:Q45,"OFF")</f>
        <v>0</v>
      </c>
      <c r="S45" s="2">
        <f>COUNTIF(K45:Q45,"AL")</f>
        <v>0</v>
      </c>
    </row>
    <row r="46" spans="1:22" x14ac:dyDescent="0.3">
      <c r="A46" s="4"/>
      <c r="B46" s="4"/>
      <c r="C46" s="4"/>
      <c r="D46" s="4"/>
      <c r="E46" s="4"/>
      <c r="F46" s="5"/>
      <c r="G46" s="6"/>
      <c r="H46" s="9"/>
      <c r="I46" s="5"/>
      <c r="J46" s="14"/>
      <c r="K46" s="7"/>
      <c r="L46" s="7"/>
      <c r="M46" s="7"/>
      <c r="N46" s="7"/>
      <c r="O46" s="7"/>
      <c r="P46" s="7"/>
      <c r="Q46" s="7"/>
      <c r="R46" s="2">
        <f>COUNTIF(K46:Q46,"OFF")</f>
        <v>0</v>
      </c>
      <c r="S46" s="2">
        <f>COUNTIF(K46:Q46,"AL")</f>
        <v>0</v>
      </c>
    </row>
    <row r="47" spans="1:22" x14ac:dyDescent="0.3">
      <c r="A47" s="4"/>
      <c r="B47" s="4"/>
      <c r="C47" s="4"/>
      <c r="D47" s="4"/>
      <c r="E47" s="4"/>
      <c r="F47" s="5"/>
      <c r="G47" s="6"/>
      <c r="H47" s="9"/>
      <c r="I47" s="5"/>
      <c r="J47" s="14"/>
      <c r="K47" s="7"/>
      <c r="L47" s="7"/>
      <c r="M47" s="7"/>
      <c r="N47" s="7"/>
      <c r="O47" s="7"/>
      <c r="P47" s="7"/>
      <c r="Q47" s="7"/>
      <c r="R47" s="2">
        <f>COUNTIF(K47:Q47,"OFF")</f>
        <v>0</v>
      </c>
      <c r="S47" s="2">
        <f>COUNTIF(K47:Q47,"AL")</f>
        <v>0</v>
      </c>
    </row>
    <row r="48" spans="1:22" x14ac:dyDescent="0.3">
      <c r="A48" s="4"/>
      <c r="B48" s="4"/>
      <c r="C48" s="4"/>
      <c r="D48" s="4"/>
      <c r="E48" s="4"/>
      <c r="F48" s="5"/>
      <c r="G48" s="6"/>
      <c r="H48" s="9"/>
      <c r="I48" s="5"/>
      <c r="J48" s="14"/>
      <c r="K48" s="7"/>
      <c r="L48" s="7"/>
      <c r="M48" s="7"/>
      <c r="N48" s="7"/>
      <c r="O48" s="7"/>
      <c r="P48" s="7"/>
      <c r="Q48" s="7"/>
      <c r="R48" s="2">
        <f>COUNTIF(K48:Q48,"OFF")</f>
        <v>0</v>
      </c>
      <c r="S48" s="2">
        <f>COUNTIF(K48:Q48,"AL")</f>
        <v>0</v>
      </c>
    </row>
    <row r="53" spans="10:17" x14ac:dyDescent="0.3">
      <c r="J53" s="16" t="s">
        <v>26</v>
      </c>
      <c r="K53" s="17" t="s">
        <v>9</v>
      </c>
      <c r="L53" s="17" t="s">
        <v>3</v>
      </c>
      <c r="M53" s="17" t="s">
        <v>4</v>
      </c>
      <c r="N53" s="17" t="s">
        <v>5</v>
      </c>
      <c r="O53" s="17" t="s">
        <v>6</v>
      </c>
      <c r="P53" s="17" t="s">
        <v>7</v>
      </c>
      <c r="Q53" s="17" t="s">
        <v>8</v>
      </c>
    </row>
    <row r="54" spans="10:17" x14ac:dyDescent="0.3">
      <c r="J54" s="18">
        <v>0.33333333333333331</v>
      </c>
      <c r="K54" s="8">
        <f t="shared" ref="K54:Q60" si="4">COUNTIF(K$3:K$48,$J54)</f>
        <v>3</v>
      </c>
      <c r="L54" s="8">
        <f t="shared" si="4"/>
        <v>3</v>
      </c>
      <c r="M54" s="8">
        <f t="shared" si="4"/>
        <v>4</v>
      </c>
      <c r="N54" s="8">
        <f t="shared" si="4"/>
        <v>4</v>
      </c>
      <c r="O54" s="8">
        <f t="shared" si="4"/>
        <v>3</v>
      </c>
      <c r="P54" s="8">
        <f t="shared" si="4"/>
        <v>4</v>
      </c>
      <c r="Q54" s="8">
        <f t="shared" si="4"/>
        <v>0</v>
      </c>
    </row>
    <row r="55" spans="10:17" x14ac:dyDescent="0.3">
      <c r="J55" s="18">
        <v>0.35416666666666669</v>
      </c>
      <c r="K55" s="8">
        <f t="shared" si="4"/>
        <v>13</v>
      </c>
      <c r="L55" s="8">
        <f t="shared" si="4"/>
        <v>12</v>
      </c>
      <c r="M55" s="8">
        <f t="shared" si="4"/>
        <v>10</v>
      </c>
      <c r="N55" s="8">
        <f t="shared" si="4"/>
        <v>8</v>
      </c>
      <c r="O55" s="8">
        <f t="shared" si="4"/>
        <v>9</v>
      </c>
      <c r="P55" s="8">
        <f t="shared" si="4"/>
        <v>10</v>
      </c>
      <c r="Q55" s="8" t="s">
        <v>10</v>
      </c>
    </row>
    <row r="56" spans="10:17" x14ac:dyDescent="0.3">
      <c r="J56" s="18">
        <v>0.375</v>
      </c>
      <c r="K56" s="8">
        <f t="shared" si="4"/>
        <v>1</v>
      </c>
      <c r="L56" s="8">
        <f t="shared" si="4"/>
        <v>1</v>
      </c>
      <c r="M56" s="8">
        <f t="shared" si="4"/>
        <v>2</v>
      </c>
      <c r="N56" s="8">
        <f t="shared" si="4"/>
        <v>2</v>
      </c>
      <c r="O56" s="8">
        <f t="shared" si="4"/>
        <v>2</v>
      </c>
      <c r="P56" s="8">
        <f t="shared" si="4"/>
        <v>1</v>
      </c>
      <c r="Q56" s="8">
        <f t="shared" si="4"/>
        <v>0</v>
      </c>
    </row>
    <row r="57" spans="10:17" x14ac:dyDescent="0.3">
      <c r="J57" s="18">
        <v>0.41666666666666669</v>
      </c>
      <c r="K57" s="8">
        <f t="shared" si="4"/>
        <v>2</v>
      </c>
      <c r="L57" s="8">
        <f t="shared" si="4"/>
        <v>2</v>
      </c>
      <c r="M57" s="8">
        <f t="shared" si="4"/>
        <v>1</v>
      </c>
      <c r="N57" s="8">
        <f t="shared" si="4"/>
        <v>2</v>
      </c>
      <c r="O57" s="8">
        <f t="shared" si="4"/>
        <v>2</v>
      </c>
      <c r="P57" s="8">
        <f t="shared" si="4"/>
        <v>3</v>
      </c>
      <c r="Q57" s="8">
        <f t="shared" si="4"/>
        <v>2</v>
      </c>
    </row>
    <row r="58" spans="10:17" x14ac:dyDescent="0.3">
      <c r="J58" s="18">
        <v>0.625</v>
      </c>
      <c r="K58" s="8">
        <f t="shared" si="4"/>
        <v>7</v>
      </c>
      <c r="L58" s="8">
        <f t="shared" si="4"/>
        <v>6</v>
      </c>
      <c r="M58" s="8">
        <f t="shared" si="4"/>
        <v>6</v>
      </c>
      <c r="N58" s="8">
        <f t="shared" si="4"/>
        <v>7</v>
      </c>
      <c r="O58" s="8">
        <f t="shared" si="4"/>
        <v>6</v>
      </c>
      <c r="P58" s="8">
        <f t="shared" si="4"/>
        <v>7</v>
      </c>
      <c r="Q58" s="8">
        <f t="shared" si="4"/>
        <v>0</v>
      </c>
    </row>
    <row r="59" spans="10:17" x14ac:dyDescent="0.3">
      <c r="J59" s="18">
        <v>0.64583333333333337</v>
      </c>
      <c r="K59" s="8">
        <f t="shared" si="4"/>
        <v>6</v>
      </c>
      <c r="L59" s="8">
        <f t="shared" si="4"/>
        <v>8</v>
      </c>
      <c r="M59" s="8">
        <f t="shared" si="4"/>
        <v>9</v>
      </c>
      <c r="N59" s="8">
        <f t="shared" si="4"/>
        <v>10</v>
      </c>
      <c r="O59" s="8">
        <f t="shared" si="4"/>
        <v>9</v>
      </c>
      <c r="P59" s="8">
        <f t="shared" si="4"/>
        <v>5</v>
      </c>
      <c r="Q59" s="8">
        <f t="shared" si="4"/>
        <v>0</v>
      </c>
    </row>
    <row r="60" spans="10:17" x14ac:dyDescent="0.3">
      <c r="J60" s="18">
        <v>0.66666666666666663</v>
      </c>
      <c r="K60" s="8">
        <f t="shared" si="4"/>
        <v>7</v>
      </c>
      <c r="L60" s="8">
        <f t="shared" si="4"/>
        <v>7</v>
      </c>
      <c r="M60" s="8">
        <f t="shared" si="4"/>
        <v>8</v>
      </c>
      <c r="N60" s="8">
        <f t="shared" si="4"/>
        <v>7</v>
      </c>
      <c r="O60" s="8">
        <f t="shared" si="4"/>
        <v>7</v>
      </c>
      <c r="P60" s="8">
        <f t="shared" si="4"/>
        <v>8</v>
      </c>
      <c r="Q60" s="8">
        <f t="shared" si="4"/>
        <v>0</v>
      </c>
    </row>
    <row r="61" spans="10:17" x14ac:dyDescent="0.3">
      <c r="J61" s="18" t="s">
        <v>23</v>
      </c>
      <c r="K61" s="15">
        <f t="shared" ref="K61:Q61" si="5">SUM(K54:K60)</f>
        <v>39</v>
      </c>
      <c r="L61" s="15">
        <f t="shared" si="5"/>
        <v>39</v>
      </c>
      <c r="M61" s="15">
        <f t="shared" si="5"/>
        <v>40</v>
      </c>
      <c r="N61" s="15">
        <f t="shared" si="5"/>
        <v>40</v>
      </c>
      <c r="O61" s="15">
        <f t="shared" si="5"/>
        <v>38</v>
      </c>
      <c r="P61" s="15">
        <f t="shared" si="5"/>
        <v>38</v>
      </c>
      <c r="Q61" s="15">
        <f t="shared" si="5"/>
        <v>2</v>
      </c>
    </row>
    <row r="62" spans="10:17" x14ac:dyDescent="0.3">
      <c r="J62" s="18" t="s">
        <v>10</v>
      </c>
      <c r="K62" s="8">
        <f t="shared" ref="K62:Q65" si="6">COUNTIF(K$3:K$48,$J62)</f>
        <v>0</v>
      </c>
      <c r="L62" s="8">
        <f t="shared" si="6"/>
        <v>0</v>
      </c>
      <c r="M62" s="8">
        <f t="shared" si="6"/>
        <v>0</v>
      </c>
      <c r="N62" s="8">
        <f t="shared" si="6"/>
        <v>0</v>
      </c>
      <c r="O62" s="8">
        <f t="shared" si="6"/>
        <v>0</v>
      </c>
      <c r="P62" s="8">
        <f t="shared" si="6"/>
        <v>1</v>
      </c>
      <c r="Q62" s="8">
        <f t="shared" si="6"/>
        <v>32</v>
      </c>
    </row>
    <row r="63" spans="10:17" x14ac:dyDescent="0.3">
      <c r="J63" s="18" t="s">
        <v>21</v>
      </c>
      <c r="K63" s="8">
        <f t="shared" si="6"/>
        <v>1</v>
      </c>
      <c r="L63" s="8">
        <f t="shared" si="6"/>
        <v>1</v>
      </c>
      <c r="M63" s="8">
        <f t="shared" si="6"/>
        <v>0</v>
      </c>
      <c r="N63" s="8">
        <f t="shared" si="6"/>
        <v>0</v>
      </c>
      <c r="O63" s="8">
        <f t="shared" si="6"/>
        <v>2</v>
      </c>
      <c r="P63" s="8">
        <f t="shared" si="6"/>
        <v>1</v>
      </c>
      <c r="Q63" s="8">
        <f t="shared" si="6"/>
        <v>0</v>
      </c>
    </row>
    <row r="64" spans="10:17" x14ac:dyDescent="0.3">
      <c r="J64" s="18" t="s">
        <v>22</v>
      </c>
      <c r="K64" s="8">
        <f t="shared" si="6"/>
        <v>0</v>
      </c>
      <c r="L64" s="8">
        <f t="shared" si="6"/>
        <v>0</v>
      </c>
      <c r="M64" s="8">
        <f t="shared" si="6"/>
        <v>0</v>
      </c>
      <c r="N64" s="8">
        <f t="shared" si="6"/>
        <v>0</v>
      </c>
      <c r="O64" s="8">
        <f t="shared" si="6"/>
        <v>0</v>
      </c>
      <c r="P64" s="8">
        <f t="shared" si="6"/>
        <v>0</v>
      </c>
      <c r="Q64" s="8">
        <f t="shared" si="6"/>
        <v>0</v>
      </c>
    </row>
    <row r="65" spans="10:17" x14ac:dyDescent="0.3">
      <c r="J65" s="18" t="s">
        <v>13</v>
      </c>
      <c r="K65" s="8">
        <f t="shared" si="6"/>
        <v>0</v>
      </c>
      <c r="L65" s="8">
        <f t="shared" si="6"/>
        <v>0</v>
      </c>
      <c r="M65" s="8">
        <f t="shared" si="6"/>
        <v>0</v>
      </c>
      <c r="N65" s="8">
        <f t="shared" si="6"/>
        <v>0</v>
      </c>
      <c r="O65" s="8">
        <f t="shared" si="6"/>
        <v>0</v>
      </c>
      <c r="P65" s="8">
        <f t="shared" si="6"/>
        <v>0</v>
      </c>
      <c r="Q65" s="8">
        <f t="shared" si="6"/>
        <v>0</v>
      </c>
    </row>
    <row r="66" spans="10:17" x14ac:dyDescent="0.3">
      <c r="J66" s="18" t="s">
        <v>11</v>
      </c>
      <c r="K66" s="17">
        <f>SUM(K61:K65)</f>
        <v>40</v>
      </c>
      <c r="L66" s="17">
        <f t="shared" ref="L66:Q66" si="7">SUM(L61:L65)</f>
        <v>40</v>
      </c>
      <c r="M66" s="17">
        <f t="shared" si="7"/>
        <v>40</v>
      </c>
      <c r="N66" s="17">
        <f t="shared" si="7"/>
        <v>40</v>
      </c>
      <c r="O66" s="17">
        <f t="shared" si="7"/>
        <v>40</v>
      </c>
      <c r="P66" s="17">
        <f t="shared" si="7"/>
        <v>40</v>
      </c>
      <c r="Q66" s="17">
        <f t="shared" si="7"/>
        <v>34</v>
      </c>
    </row>
  </sheetData>
  <autoFilter ref="A2:S48" xr:uid="{00000000-0009-0000-0000-000000000000}"/>
  <sortState xmlns:xlrd2="http://schemas.microsoft.com/office/spreadsheetml/2017/richdata2" ref="A3:H44">
    <sortCondition ref="G3:G44"/>
  </sortState>
  <mergeCells count="1">
    <mergeCell ref="A1:J1"/>
  </mergeCells>
  <phoneticPr fontId="12" type="noConversion"/>
  <conditionalFormatting sqref="B43:B44">
    <cfRule type="duplicateValues" dxfId="796" priority="96532"/>
    <cfRule type="duplicateValues" dxfId="795" priority="96529"/>
    <cfRule type="duplicateValues" dxfId="794" priority="96531"/>
  </conditionalFormatting>
  <conditionalFormatting sqref="B45:B48">
    <cfRule type="duplicateValues" dxfId="793" priority="96650"/>
    <cfRule type="duplicateValues" dxfId="792" priority="96649"/>
    <cfRule type="duplicateValues" dxfId="791" priority="96648"/>
  </conditionalFormatting>
  <conditionalFormatting sqref="B49:B1048576 B1:B2 B43:B44">
    <cfRule type="duplicateValues" dxfId="790" priority="1721"/>
    <cfRule type="duplicateValues" dxfId="789" priority="1724"/>
  </conditionalFormatting>
  <conditionalFormatting sqref="B49:B1048576 B2 B43:B44">
    <cfRule type="duplicateValues" dxfId="788" priority="1905"/>
  </conditionalFormatting>
  <conditionalFormatting sqref="C1:C1048576">
    <cfRule type="duplicateValues" dxfId="787" priority="1385"/>
  </conditionalFormatting>
  <conditionalFormatting sqref="C9">
    <cfRule type="duplicateValues" dxfId="786" priority="1669"/>
    <cfRule type="duplicateValues" dxfId="785" priority="1670"/>
    <cfRule type="duplicateValues" dxfId="784" priority="1672"/>
    <cfRule type="duplicateValues" dxfId="783" priority="1673"/>
    <cfRule type="duplicateValues" dxfId="782" priority="1674"/>
    <cfRule type="duplicateValues" dxfId="781" priority="1666"/>
    <cfRule type="duplicateValues" dxfId="780" priority="1663"/>
    <cfRule type="duplicateValues" dxfId="779" priority="1665"/>
    <cfRule type="duplicateValues" dxfId="778" priority="1668"/>
  </conditionalFormatting>
  <conditionalFormatting sqref="C10">
    <cfRule type="duplicateValues" dxfId="777" priority="1683"/>
    <cfRule type="duplicateValues" dxfId="776" priority="1685"/>
    <cfRule type="duplicateValues" dxfId="775" priority="1686"/>
    <cfRule type="duplicateValues" dxfId="774" priority="1694"/>
  </conditionalFormatting>
  <conditionalFormatting sqref="C16">
    <cfRule type="duplicateValues" dxfId="773" priority="1565"/>
    <cfRule type="duplicateValues" dxfId="772" priority="1566"/>
    <cfRule type="duplicateValues" dxfId="771" priority="1551"/>
    <cfRule type="duplicateValues" dxfId="770" priority="1568"/>
    <cfRule type="duplicateValues" dxfId="769" priority="1569"/>
    <cfRule type="duplicateValues" dxfId="768" priority="1570"/>
    <cfRule type="duplicateValues" dxfId="767" priority="1574"/>
    <cfRule type="duplicateValues" dxfId="766" priority="1562"/>
    <cfRule type="duplicateValues" dxfId="765" priority="1573"/>
    <cfRule type="duplicateValues" dxfId="764" priority="1563"/>
    <cfRule type="duplicateValues" dxfId="763" priority="1572"/>
  </conditionalFormatting>
  <conditionalFormatting sqref="C25">
    <cfRule type="duplicateValues" dxfId="762" priority="1477"/>
    <cfRule type="duplicateValues" dxfId="761" priority="1476"/>
    <cfRule type="duplicateValues" dxfId="760" priority="1475"/>
    <cfRule type="duplicateValues" dxfId="759" priority="1474"/>
    <cfRule type="duplicateValues" dxfId="758" priority="1473"/>
    <cfRule type="duplicateValues" dxfId="757" priority="1472"/>
    <cfRule type="duplicateValues" dxfId="756" priority="1471"/>
    <cfRule type="duplicateValues" dxfId="755" priority="1504"/>
    <cfRule type="duplicateValues" dxfId="754" priority="1510"/>
    <cfRule type="duplicateValues" dxfId="753" priority="1509"/>
    <cfRule type="duplicateValues" dxfId="752" priority="1508"/>
    <cfRule type="duplicateValues" dxfId="751" priority="1506"/>
    <cfRule type="duplicateValues" dxfId="750" priority="1505"/>
    <cfRule type="duplicateValues" dxfId="749" priority="1502"/>
    <cfRule type="duplicateValues" dxfId="748" priority="1501"/>
    <cfRule type="duplicateValues" dxfId="747" priority="1499"/>
    <cfRule type="duplicateValues" dxfId="746" priority="1498"/>
    <cfRule type="duplicateValues" dxfId="745" priority="1484"/>
    <cfRule type="duplicateValues" dxfId="744" priority="1480"/>
    <cfRule type="duplicateValues" dxfId="743" priority="1479"/>
    <cfRule type="duplicateValues" dxfId="742" priority="1478"/>
  </conditionalFormatting>
  <conditionalFormatting sqref="C25:C26">
    <cfRule type="duplicateValues" dxfId="741" priority="1470"/>
  </conditionalFormatting>
  <conditionalFormatting sqref="C26">
    <cfRule type="duplicateValues" dxfId="740" priority="1516"/>
    <cfRule type="duplicateValues" dxfId="739" priority="1525"/>
    <cfRule type="duplicateValues" dxfId="738" priority="1517"/>
    <cfRule type="duplicateValues" dxfId="737" priority="1514"/>
  </conditionalFormatting>
  <conditionalFormatting sqref="C45:C48">
    <cfRule type="duplicateValues" dxfId="736" priority="96653"/>
    <cfRule type="duplicateValues" dxfId="735" priority="96651"/>
    <cfRule type="duplicateValues" dxfId="734" priority="96652"/>
    <cfRule type="duplicateValues" dxfId="733" priority="96647"/>
  </conditionalFormatting>
  <conditionalFormatting sqref="C49:C1048576 C1:C15 C30:C44 C17:C24 C27:C28">
    <cfRule type="duplicateValues" dxfId="732" priority="96615"/>
    <cfRule type="duplicateValues" dxfId="731" priority="96621"/>
    <cfRule type="duplicateValues" dxfId="730" priority="96622"/>
    <cfRule type="duplicateValues" dxfId="729" priority="96623"/>
  </conditionalFormatting>
  <conditionalFormatting sqref="C49:C1048576 C1:C44">
    <cfRule type="duplicateValues" dxfId="728" priority="1469"/>
  </conditionalFormatting>
  <conditionalFormatting sqref="C49:C1048576 C2:C15 C30:C44 C17:C24 C27:C28">
    <cfRule type="duplicateValues" dxfId="727" priority="96609"/>
  </conditionalFormatting>
  <conditionalFormatting sqref="C49:C1048576 C30:C44 C1:C24 C27:C28">
    <cfRule type="duplicateValues" dxfId="726" priority="96639"/>
  </conditionalFormatting>
  <conditionalFormatting sqref="C49:C1048576">
    <cfRule type="duplicateValues" dxfId="725" priority="1933"/>
  </conditionalFormatting>
  <conditionalFormatting sqref="K3">
    <cfRule type="cellIs" dxfId="724" priority="55" operator="equal">
      <formula>"Annual"</formula>
    </cfRule>
    <cfRule type="cellIs" dxfId="723" priority="54" operator="equal">
      <formula>"Annual"</formula>
    </cfRule>
    <cfRule type="cellIs" dxfId="722" priority="51" operator="equal">
      <formula>"OFF"</formula>
    </cfRule>
    <cfRule type="cellIs" dxfId="721" priority="50" operator="equal">
      <formula>"CO"</formula>
    </cfRule>
  </conditionalFormatting>
  <conditionalFormatting sqref="K3:K4">
    <cfRule type="cellIs" dxfId="720" priority="6" operator="equal">
      <formula>"Annual"</formula>
    </cfRule>
    <cfRule type="cellIs" dxfId="719" priority="7" operator="equal">
      <formula>"Annual"</formula>
    </cfRule>
  </conditionalFormatting>
  <conditionalFormatting sqref="K7:K8 K14 K18 K22 K27 K31">
    <cfRule type="cellIs" dxfId="718" priority="842" operator="equal">
      <formula>"Annual"</formula>
    </cfRule>
  </conditionalFormatting>
  <conditionalFormatting sqref="K7:K8 K14:K16 K18 K22:N22 K25:K27 K31">
    <cfRule type="cellIs" dxfId="717" priority="845" operator="equal">
      <formula>"Annual"</formula>
    </cfRule>
    <cfRule type="cellIs" dxfId="716" priority="846" operator="equal">
      <formula>"Annual"</formula>
    </cfRule>
  </conditionalFormatting>
  <conditionalFormatting sqref="K7:K16">
    <cfRule type="cellIs" dxfId="715" priority="100" operator="equal">
      <formula>"CO"</formula>
    </cfRule>
    <cfRule type="cellIs" dxfId="714" priority="103" operator="equal">
      <formula>"OFF"</formula>
    </cfRule>
  </conditionalFormatting>
  <conditionalFormatting sqref="K12">
    <cfRule type="cellIs" dxfId="713" priority="221" operator="equal">
      <formula>"Annual"</formula>
    </cfRule>
    <cfRule type="cellIs" dxfId="712" priority="222" operator="equal">
      <formula>"Annual"</formula>
    </cfRule>
  </conditionalFormatting>
  <conditionalFormatting sqref="K12:K14">
    <cfRule type="cellIs" dxfId="711" priority="119" operator="equal">
      <formula>"Annual"</formula>
    </cfRule>
    <cfRule type="cellIs" dxfId="710" priority="118" operator="equal">
      <formula>"Annual"</formula>
    </cfRule>
  </conditionalFormatting>
  <conditionalFormatting sqref="K13">
    <cfRule type="cellIs" dxfId="709" priority="102" operator="equal">
      <formula>"Annual"</formula>
    </cfRule>
    <cfRule type="cellIs" dxfId="708" priority="101" operator="equal">
      <formula>"Annual"</formula>
    </cfRule>
    <cfRule type="cellIs" dxfId="707" priority="106" operator="equal">
      <formula>"Annual"</formula>
    </cfRule>
    <cfRule type="cellIs" dxfId="706" priority="110" operator="equal">
      <formula>"Annual"</formula>
    </cfRule>
    <cfRule type="cellIs" dxfId="705" priority="105" operator="equal">
      <formula>"Annual"</formula>
    </cfRule>
    <cfRule type="cellIs" dxfId="704" priority="109" operator="equal">
      <formula>"Annual"</formula>
    </cfRule>
  </conditionalFormatting>
  <conditionalFormatting sqref="K14">
    <cfRule type="cellIs" dxfId="703" priority="126" operator="equal">
      <formula>"Annual"</formula>
    </cfRule>
    <cfRule type="cellIs" dxfId="702" priority="127" operator="equal">
      <formula>"Annual"</formula>
    </cfRule>
    <cfRule type="cellIs" dxfId="701" priority="225" operator="equal">
      <formula>"Annual"</formula>
    </cfRule>
    <cfRule type="cellIs" dxfId="700" priority="1317" operator="equal">
      <formula>"Annual"</formula>
    </cfRule>
    <cfRule type="cellIs" dxfId="699" priority="226" operator="equal">
      <formula>"Annual"</formula>
    </cfRule>
    <cfRule type="cellIs" dxfId="698" priority="1318" operator="equal">
      <formula>"Annual"</formula>
    </cfRule>
  </conditionalFormatting>
  <conditionalFormatting sqref="K14:K16 K16:L16">
    <cfRule type="cellIs" dxfId="697" priority="1309" operator="equal">
      <formula>"Annual"</formula>
    </cfRule>
    <cfRule type="cellIs" dxfId="696" priority="1310" operator="equal">
      <formula>"Annual"</formula>
    </cfRule>
  </conditionalFormatting>
  <conditionalFormatting sqref="K18">
    <cfRule type="cellIs" dxfId="695" priority="816" operator="equal">
      <formula>"CO"</formula>
    </cfRule>
    <cfRule type="cellIs" dxfId="694" priority="822" operator="equal">
      <formula>"Annual"</formula>
    </cfRule>
    <cfRule type="cellIs" dxfId="693" priority="821" operator="equal">
      <formula>"Annual"</formula>
    </cfRule>
    <cfRule type="cellIs" dxfId="692" priority="819" operator="equal">
      <formula>"OFF"</formula>
    </cfRule>
    <cfRule type="cellIs" dxfId="691" priority="818" operator="equal">
      <formula>"Annual"</formula>
    </cfRule>
    <cfRule type="cellIs" dxfId="690" priority="817" operator="equal">
      <formula>"Annual"</formula>
    </cfRule>
  </conditionalFormatting>
  <conditionalFormatting sqref="K22">
    <cfRule type="cellIs" dxfId="689" priority="829" operator="equal">
      <formula>"Annual"</formula>
    </cfRule>
    <cfRule type="cellIs" dxfId="688" priority="826" operator="equal">
      <formula>"Annual"</formula>
    </cfRule>
    <cfRule type="cellIs" dxfId="687" priority="825" operator="equal">
      <formula>"Annual"</formula>
    </cfRule>
    <cfRule type="cellIs" dxfId="686" priority="830" operator="equal">
      <formula>"Annual"</formula>
    </cfRule>
  </conditionalFormatting>
  <conditionalFormatting sqref="K22:K27">
    <cfRule type="cellIs" dxfId="685" priority="827" operator="equal">
      <formula>"OFF"</formula>
    </cfRule>
    <cfRule type="cellIs" dxfId="684" priority="824" operator="equal">
      <formula>"CO"</formula>
    </cfRule>
  </conditionalFormatting>
  <conditionalFormatting sqref="K23:K24">
    <cfRule type="cellIs" dxfId="683" priority="1142" operator="equal">
      <formula>"Annual"</formula>
    </cfRule>
    <cfRule type="cellIs" dxfId="682" priority="1141" operator="equal">
      <formula>"Annual"</formula>
    </cfRule>
    <cfRule type="cellIs" dxfId="681" priority="1145" operator="equal">
      <formula>"Annual"</formula>
    </cfRule>
    <cfRule type="cellIs" dxfId="680" priority="1150" operator="equal">
      <formula>"Annual"</formula>
    </cfRule>
    <cfRule type="cellIs" dxfId="679" priority="1146" operator="equal">
      <formula>"Annual"</formula>
    </cfRule>
    <cfRule type="cellIs" dxfId="678" priority="1149" operator="equal">
      <formula>"Annual"</formula>
    </cfRule>
  </conditionalFormatting>
  <conditionalFormatting sqref="K23:K26">
    <cfRule type="cellIs" dxfId="677" priority="1102" operator="equal">
      <formula>"Annual"</formula>
    </cfRule>
    <cfRule type="cellIs" dxfId="676" priority="1101" operator="equal">
      <formula>"Annual"</formula>
    </cfRule>
  </conditionalFormatting>
  <conditionalFormatting sqref="K25:K26">
    <cfRule type="cellIs" dxfId="675" priority="1098" operator="equal">
      <formula>"Annual"</formula>
    </cfRule>
    <cfRule type="cellIs" dxfId="674" priority="1097" operator="equal">
      <formula>"Annual"</formula>
    </cfRule>
    <cfRule type="cellIs" dxfId="673" priority="1094" operator="equal">
      <formula>"Annual"</formula>
    </cfRule>
    <cfRule type="cellIs" dxfId="672" priority="1093" operator="equal">
      <formula>"Annual"</formula>
    </cfRule>
  </conditionalFormatting>
  <conditionalFormatting sqref="K27 K22 K18 K31 K14 K7:K8">
    <cfRule type="cellIs" dxfId="671" priority="841" operator="equal">
      <formula>"Annual"</formula>
    </cfRule>
  </conditionalFormatting>
  <conditionalFormatting sqref="K27">
    <cfRule type="cellIs" dxfId="670" priority="833" operator="equal">
      <formula>"Annual"</formula>
    </cfRule>
    <cfRule type="cellIs" dxfId="669" priority="834" operator="equal">
      <formula>"Annual"</formula>
    </cfRule>
    <cfRule type="cellIs" dxfId="668" priority="837" operator="equal">
      <formula>"Annual"</formula>
    </cfRule>
    <cfRule type="cellIs" dxfId="667" priority="838" operator="equal">
      <formula>"Annual"</formula>
    </cfRule>
  </conditionalFormatting>
  <conditionalFormatting sqref="K31">
    <cfRule type="cellIs" dxfId="666" priority="813" operator="equal">
      <formula>"Annual"</formula>
    </cfRule>
    <cfRule type="cellIs" dxfId="665" priority="814" operator="equal">
      <formula>"Annual"</formula>
    </cfRule>
  </conditionalFormatting>
  <conditionalFormatting sqref="K4:L4">
    <cfRule type="cellIs" dxfId="664" priority="4" operator="equal">
      <formula>"Annual"</formula>
    </cfRule>
    <cfRule type="cellIs" dxfId="663" priority="5" operator="equal">
      <formula>"Annual"</formula>
    </cfRule>
  </conditionalFormatting>
  <conditionalFormatting sqref="K13:L13">
    <cfRule type="cellIs" dxfId="662" priority="113" operator="equal">
      <formula>"Annual"</formula>
    </cfRule>
    <cfRule type="cellIs" dxfId="661" priority="114" operator="equal">
      <formula>"Annual"</formula>
    </cfRule>
  </conditionalFormatting>
  <conditionalFormatting sqref="K16:L16">
    <cfRule type="cellIs" dxfId="660" priority="1307" operator="equal">
      <formula>"OFF"</formula>
    </cfRule>
    <cfRule type="cellIs" dxfId="659" priority="1306" operator="equal">
      <formula>"Annual"</formula>
    </cfRule>
    <cfRule type="cellIs" dxfId="658" priority="1304" operator="equal">
      <formula>"CO"</formula>
    </cfRule>
  </conditionalFormatting>
  <conditionalFormatting sqref="K27:L27">
    <cfRule type="cellIs" dxfId="657" priority="938" operator="equal">
      <formula>"Annual"</formula>
    </cfRule>
    <cfRule type="cellIs" dxfId="656" priority="934" operator="equal">
      <formula>"Annual"</formula>
    </cfRule>
    <cfRule type="cellIs" dxfId="655" priority="937" operator="equal">
      <formula>"Annual"</formula>
    </cfRule>
    <cfRule type="cellIs" dxfId="654" priority="941" operator="equal">
      <formula>"Annual"</formula>
    </cfRule>
    <cfRule type="cellIs" dxfId="653" priority="942" operator="equal">
      <formula>"Annual"</formula>
    </cfRule>
    <cfRule type="cellIs" dxfId="652" priority="933" operator="equal">
      <formula>"Annual"</formula>
    </cfRule>
    <cfRule type="cellIs" dxfId="651" priority="930" operator="equal">
      <formula>"Annual"</formula>
    </cfRule>
    <cfRule type="cellIs" dxfId="650" priority="929" operator="equal">
      <formula>"Annual"</formula>
    </cfRule>
  </conditionalFormatting>
  <conditionalFormatting sqref="K31:L31">
    <cfRule type="cellIs" dxfId="649" priority="730" operator="equal">
      <formula>"Annual"</formula>
    </cfRule>
    <cfRule type="cellIs" dxfId="648" priority="729" operator="equal">
      <formula>"Annual"</formula>
    </cfRule>
  </conditionalFormatting>
  <conditionalFormatting sqref="K12:M12">
    <cfRule type="cellIs" dxfId="647" priority="1335" operator="equal">
      <formula>"OFF"</formula>
    </cfRule>
    <cfRule type="cellIs" dxfId="646" priority="1332" operator="equal">
      <formula>"CO"</formula>
    </cfRule>
  </conditionalFormatting>
  <conditionalFormatting sqref="K16:M16">
    <cfRule type="cellIs" dxfId="645" priority="709" operator="equal">
      <formula>"Annual"</formula>
    </cfRule>
  </conditionalFormatting>
  <conditionalFormatting sqref="K19:M19">
    <cfRule type="cellIs" dxfId="644" priority="1246" operator="equal">
      <formula>"Annual"</formula>
    </cfRule>
    <cfRule type="cellIs" dxfId="643" priority="1237" operator="equal">
      <formula>"Annual"</formula>
    </cfRule>
    <cfRule type="cellIs" dxfId="642" priority="1238" operator="equal">
      <formula>"Annual"</formula>
    </cfRule>
    <cfRule type="cellIs" dxfId="641" priority="1242" operator="equal">
      <formula>"Annual"</formula>
    </cfRule>
    <cfRule type="cellIs" dxfId="640" priority="1245" operator="equal">
      <formula>"Annual"</formula>
    </cfRule>
    <cfRule type="cellIs" dxfId="639" priority="1241" operator="equal">
      <formula>"Annual"</formula>
    </cfRule>
  </conditionalFormatting>
  <conditionalFormatting sqref="K21:M21">
    <cfRule type="cellIs" dxfId="638" priority="1222" operator="equal">
      <formula>"Annual"</formula>
    </cfRule>
    <cfRule type="cellIs" dxfId="637" priority="1225" operator="equal">
      <formula>"Annual"</formula>
    </cfRule>
    <cfRule type="cellIs" dxfId="636" priority="1226" operator="equal">
      <formula>"Annual"</formula>
    </cfRule>
    <cfRule type="cellIs" dxfId="635" priority="1229" operator="equal">
      <formula>"Annual"</formula>
    </cfRule>
    <cfRule type="cellIs" dxfId="634" priority="1216" operator="equal">
      <formula>"CO"</formula>
    </cfRule>
    <cfRule type="cellIs" dxfId="633" priority="1219" operator="equal">
      <formula>"OFF"</formula>
    </cfRule>
    <cfRule type="cellIs" dxfId="632" priority="1221" operator="equal">
      <formula>"Annual"</formula>
    </cfRule>
    <cfRule type="cellIs" dxfId="631" priority="1230" operator="equal">
      <formula>"Annual"</formula>
    </cfRule>
  </conditionalFormatting>
  <conditionalFormatting sqref="K27:M27">
    <cfRule type="cellIs" dxfId="630" priority="632" operator="equal">
      <formula>"CO"</formula>
    </cfRule>
    <cfRule type="cellIs" dxfId="629" priority="635" operator="equal">
      <formula>"OFF"</formula>
    </cfRule>
  </conditionalFormatting>
  <conditionalFormatting sqref="K28:M28">
    <cfRule type="cellIs" dxfId="628" priority="797" operator="equal">
      <formula>"Annual"</formula>
    </cfRule>
    <cfRule type="cellIs" dxfId="627" priority="806" operator="equal">
      <formula>"Annual"</formula>
    </cfRule>
    <cfRule type="cellIs" dxfId="626" priority="805" operator="equal">
      <formula>"Annual"</formula>
    </cfRule>
    <cfRule type="cellIs" dxfId="625" priority="802" operator="equal">
      <formula>"Annual"</formula>
    </cfRule>
    <cfRule type="cellIs" dxfId="624" priority="801" operator="equal">
      <formula>"Annual"</formula>
    </cfRule>
    <cfRule type="cellIs" dxfId="623" priority="798" operator="equal">
      <formula>"Annual"</formula>
    </cfRule>
  </conditionalFormatting>
  <conditionalFormatting sqref="K29:M29">
    <cfRule type="cellIs" dxfId="622" priority="917" operator="equal">
      <formula>"Annual"</formula>
    </cfRule>
    <cfRule type="cellIs" dxfId="621" priority="926" operator="equal">
      <formula>"Annual"</formula>
    </cfRule>
    <cfRule type="cellIs" dxfId="620" priority="925" operator="equal">
      <formula>"Annual"</formula>
    </cfRule>
    <cfRule type="cellIs" dxfId="619" priority="922" operator="equal">
      <formula>"Annual"</formula>
    </cfRule>
    <cfRule type="cellIs" dxfId="618" priority="921" operator="equal">
      <formula>"Annual"</formula>
    </cfRule>
    <cfRule type="cellIs" dxfId="617" priority="918" operator="equal">
      <formula>"Annual"</formula>
    </cfRule>
  </conditionalFormatting>
  <conditionalFormatting sqref="K31:M31">
    <cfRule type="cellIs" dxfId="616" priority="865" operator="equal">
      <formula>"Annual"</formula>
    </cfRule>
    <cfRule type="cellIs" dxfId="615" priority="866" operator="equal">
      <formula>"Annual"</formula>
    </cfRule>
    <cfRule type="cellIs" dxfId="614" priority="874" operator="equal">
      <formula>"Annual"</formula>
    </cfRule>
    <cfRule type="cellIs" dxfId="613" priority="873" operator="equal">
      <formula>"Annual"</formula>
    </cfRule>
    <cfRule type="cellIs" dxfId="612" priority="870" operator="equal">
      <formula>"Annual"</formula>
    </cfRule>
    <cfRule type="cellIs" dxfId="611" priority="869" operator="equal">
      <formula>"Annual"</formula>
    </cfRule>
  </conditionalFormatting>
  <conditionalFormatting sqref="K19:N19">
    <cfRule type="cellIs" dxfId="610" priority="564" operator="equal">
      <formula>"CO"</formula>
    </cfRule>
    <cfRule type="cellIs" dxfId="609" priority="567" operator="equal">
      <formula>"OFF"</formula>
    </cfRule>
    <cfRule type="cellIs" dxfId="608" priority="577" operator="equal">
      <formula>"Annual"</formula>
    </cfRule>
    <cfRule type="cellIs" dxfId="607" priority="578" operator="equal">
      <formula>"Annual"</formula>
    </cfRule>
  </conditionalFormatting>
  <conditionalFormatting sqref="K21:N21">
    <cfRule type="cellIs" dxfId="606" priority="562" operator="equal">
      <formula>"Annual"</formula>
    </cfRule>
    <cfRule type="cellIs" dxfId="605" priority="561" operator="equal">
      <formula>"Annual"</formula>
    </cfRule>
  </conditionalFormatting>
  <conditionalFormatting sqref="K10:O11">
    <cfRule type="cellIs" dxfId="604" priority="1341" operator="equal">
      <formula>"Annual"</formula>
    </cfRule>
    <cfRule type="cellIs" dxfId="603" priority="1342" operator="equal">
      <formula>"Annual"</formula>
    </cfRule>
  </conditionalFormatting>
  <conditionalFormatting sqref="K12:P12">
    <cfRule type="cellIs" dxfId="602" priority="1329" operator="equal">
      <formula>"Annual"</formula>
    </cfRule>
    <cfRule type="cellIs" dxfId="601" priority="1330" operator="equal">
      <formula>"Annual"</formula>
    </cfRule>
  </conditionalFormatting>
  <conditionalFormatting sqref="K28:P28">
    <cfRule type="cellIs" dxfId="600" priority="785" operator="equal">
      <formula>"Annual"</formula>
    </cfRule>
    <cfRule type="cellIs" dxfId="599" priority="786" operator="equal">
      <formula>"Annual"</formula>
    </cfRule>
  </conditionalFormatting>
  <conditionalFormatting sqref="K28:P29">
    <cfRule type="cellIs" dxfId="598" priority="779" operator="equal">
      <formula>"OFF"</formula>
    </cfRule>
    <cfRule type="cellIs" dxfId="597" priority="776" operator="equal">
      <formula>"CO"</formula>
    </cfRule>
  </conditionalFormatting>
  <conditionalFormatting sqref="K29:P29">
    <cfRule type="cellIs" dxfId="596" priority="893" operator="equal">
      <formula>"Annual"</formula>
    </cfRule>
    <cfRule type="cellIs" dxfId="595" priority="894" operator="equal">
      <formula>"Annual"</formula>
    </cfRule>
  </conditionalFormatting>
  <conditionalFormatting sqref="K31:P31">
    <cfRule type="cellIs" dxfId="594" priority="877" operator="equal">
      <formula>"Annual"</formula>
    </cfRule>
    <cfRule type="cellIs" dxfId="593" priority="808" operator="equal">
      <formula>"CO"</formula>
    </cfRule>
    <cfRule type="cellIs" dxfId="592" priority="811" operator="equal">
      <formula>"OFF"</formula>
    </cfRule>
    <cfRule type="cellIs" dxfId="591" priority="878" operator="equal">
      <formula>"Annual"</formula>
    </cfRule>
  </conditionalFormatting>
  <conditionalFormatting sqref="K3:Q3 K5:Q9 P5:P11 K8:K10 O9:O10 L10 K11:Q12 L13:Q13 K14:Q36">
    <cfRule type="cellIs" dxfId="590" priority="2052" operator="equal">
      <formula>"Annual"</formula>
    </cfRule>
  </conditionalFormatting>
  <conditionalFormatting sqref="K3:Q12">
    <cfRule type="cellIs" dxfId="589" priority="179" operator="equal">
      <formula>"CO"</formula>
    </cfRule>
    <cfRule type="cellIs" dxfId="588" priority="182" operator="equal">
      <formula>"OFF"</formula>
    </cfRule>
  </conditionalFormatting>
  <conditionalFormatting sqref="K3:Q44">
    <cfRule type="cellIs" dxfId="587" priority="90" operator="equal">
      <formula>"AL"</formula>
    </cfRule>
  </conditionalFormatting>
  <conditionalFormatting sqref="K4:Q4">
    <cfRule type="cellIs" dxfId="586" priority="180" operator="equal">
      <formula>"Annual"</formula>
    </cfRule>
    <cfRule type="cellIs" dxfId="585" priority="181" operator="equal">
      <formula>"Annual"</formula>
    </cfRule>
  </conditionalFormatting>
  <conditionalFormatting sqref="K5:Q9 P5:P11 K8:K10 O9:O10 L10 K11:Q12 L13:Q13 K14:Q36 K3:Q3">
    <cfRule type="cellIs" dxfId="584" priority="2051" operator="equal">
      <formula>"Annual"</formula>
    </cfRule>
  </conditionalFormatting>
  <conditionalFormatting sqref="K14:Q48">
    <cfRule type="cellIs" dxfId="583" priority="94" operator="equal">
      <formula>"OFF"</formula>
    </cfRule>
    <cfRule type="cellIs" dxfId="582" priority="91" operator="equal">
      <formula>"CO"</formula>
    </cfRule>
  </conditionalFormatting>
  <conditionalFormatting sqref="K37:Q48">
    <cfRule type="cellIs" dxfId="581" priority="93" operator="equal">
      <formula>"Annual"</formula>
    </cfRule>
    <cfRule type="cellIs" dxfId="580" priority="92" operator="equal">
      <formula>"Annual"</formula>
    </cfRule>
  </conditionalFormatting>
  <conditionalFormatting sqref="L4">
    <cfRule type="cellIs" dxfId="579" priority="56" operator="equal">
      <formula>"Annual"</formula>
    </cfRule>
    <cfRule type="cellIs" dxfId="578" priority="57" operator="equal">
      <formula>"Annual"</formula>
    </cfRule>
  </conditionalFormatting>
  <conditionalFormatting sqref="L5">
    <cfRule type="cellIs" dxfId="577" priority="88" operator="equal">
      <formula>"CO"</formula>
    </cfRule>
    <cfRule type="cellIs" dxfId="576" priority="89" operator="equal">
      <formula>"OFF"</formula>
    </cfRule>
  </conditionalFormatting>
  <conditionalFormatting sqref="L9 L13 L20 L23 L30:L31">
    <cfRule type="cellIs" dxfId="575" priority="773" operator="equal">
      <formula>"Annual"</formula>
    </cfRule>
    <cfRule type="cellIs" dxfId="574" priority="770" operator="equal">
      <formula>"Annual"</formula>
    </cfRule>
    <cfRule type="cellIs" dxfId="573" priority="774" operator="equal">
      <formula>"Annual"</formula>
    </cfRule>
  </conditionalFormatting>
  <conditionalFormatting sqref="L9:L11">
    <cfRule type="cellIs" dxfId="572" priority="768" operator="equal">
      <formula>"CO"</formula>
    </cfRule>
    <cfRule type="cellIs" dxfId="571" priority="771" operator="equal">
      <formula>"OFF"</formula>
    </cfRule>
  </conditionalFormatting>
  <conditionalFormatting sqref="L13 L20 L23 L30:L31 L9">
    <cfRule type="cellIs" dxfId="570" priority="769" operator="equal">
      <formula>"Annual"</formula>
    </cfRule>
  </conditionalFormatting>
  <conditionalFormatting sqref="L13">
    <cfRule type="cellIs" dxfId="569" priority="765" operator="equal">
      <formula>"Annual"</formula>
    </cfRule>
    <cfRule type="cellIs" dxfId="568" priority="766" operator="equal">
      <formula>"Annual"</formula>
    </cfRule>
  </conditionalFormatting>
  <conditionalFormatting sqref="L20">
    <cfRule type="cellIs" dxfId="567" priority="753" operator="equal">
      <formula>"Annual"</formula>
    </cfRule>
    <cfRule type="cellIs" dxfId="566" priority="752" operator="equal">
      <formula>"CO"</formula>
    </cfRule>
    <cfRule type="cellIs" dxfId="565" priority="755" operator="equal">
      <formula>"OFF"</formula>
    </cfRule>
    <cfRule type="cellIs" dxfId="564" priority="757" operator="equal">
      <formula>"Annual"</formula>
    </cfRule>
    <cfRule type="cellIs" dxfId="563" priority="758" operator="equal">
      <formula>"Annual"</formula>
    </cfRule>
    <cfRule type="cellIs" dxfId="562" priority="754" operator="equal">
      <formula>"Annual"</formula>
    </cfRule>
  </conditionalFormatting>
  <conditionalFormatting sqref="L23">
    <cfRule type="cellIs" dxfId="561" priority="750" operator="equal">
      <formula>"Annual"</formula>
    </cfRule>
    <cfRule type="cellIs" dxfId="560" priority="744" operator="equal">
      <formula>"CO"</formula>
    </cfRule>
    <cfRule type="cellIs" dxfId="559" priority="745" operator="equal">
      <formula>"Annual"</formula>
    </cfRule>
    <cfRule type="cellIs" dxfId="558" priority="746" operator="equal">
      <formula>"Annual"</formula>
    </cfRule>
    <cfRule type="cellIs" dxfId="557" priority="747" operator="equal">
      <formula>"OFF"</formula>
    </cfRule>
    <cfRule type="cellIs" dxfId="556" priority="749" operator="equal">
      <formula>"Annual"</formula>
    </cfRule>
  </conditionalFormatting>
  <conditionalFormatting sqref="L26">
    <cfRule type="cellIs" dxfId="555" priority="1043" operator="equal">
      <formula>"OFF"</formula>
    </cfRule>
    <cfRule type="cellIs" dxfId="554" priority="1046" operator="equal">
      <formula>"Annual"</formula>
    </cfRule>
    <cfRule type="cellIs" dxfId="553" priority="1050" operator="equal">
      <formula>"Annual"</formula>
    </cfRule>
    <cfRule type="cellIs" dxfId="552" priority="1049" operator="equal">
      <formula>"Annual"</formula>
    </cfRule>
    <cfRule type="cellIs" dxfId="551" priority="1045" operator="equal">
      <formula>"Annual"</formula>
    </cfRule>
    <cfRule type="cellIs" dxfId="550" priority="1040" operator="equal">
      <formula>"CO"</formula>
    </cfRule>
    <cfRule type="cellIs" dxfId="549" priority="1054" operator="equal">
      <formula>"Annual"</formula>
    </cfRule>
    <cfRule type="cellIs" dxfId="548" priority="1053" operator="equal">
      <formula>"Annual"</formula>
    </cfRule>
  </conditionalFormatting>
  <conditionalFormatting sqref="L30:L31">
    <cfRule type="cellIs" dxfId="547" priority="731" operator="equal">
      <formula>"OFF"</formula>
    </cfRule>
    <cfRule type="cellIs" dxfId="546" priority="733" operator="equal">
      <formula>"Annual"</formula>
    </cfRule>
    <cfRule type="cellIs" dxfId="545" priority="728" operator="equal">
      <formula>"CO"</formula>
    </cfRule>
    <cfRule type="cellIs" dxfId="544" priority="734" operator="equal">
      <formula>"Annual"</formula>
    </cfRule>
  </conditionalFormatting>
  <conditionalFormatting sqref="L22:N22">
    <cfRule type="cellIs" dxfId="543" priority="1158" operator="equal">
      <formula>"Annual"</formula>
    </cfRule>
    <cfRule type="cellIs" dxfId="542" priority="1166" operator="equal">
      <formula>"Annual"</formula>
    </cfRule>
    <cfRule type="cellIs" dxfId="541" priority="1165" operator="equal">
      <formula>"Annual"</formula>
    </cfRule>
    <cfRule type="cellIs" dxfId="540" priority="1162" operator="equal">
      <formula>"Annual"</formula>
    </cfRule>
    <cfRule type="cellIs" dxfId="539" priority="1161" operator="equal">
      <formula>"Annual"</formula>
    </cfRule>
    <cfRule type="cellIs" dxfId="538" priority="1157" operator="equal">
      <formula>"Annual"</formula>
    </cfRule>
    <cfRule type="cellIs" dxfId="537" priority="1155" operator="equal">
      <formula>"OFF"</formula>
    </cfRule>
    <cfRule type="cellIs" dxfId="536" priority="1152" operator="equal">
      <formula>"CO"</formula>
    </cfRule>
  </conditionalFormatting>
  <conditionalFormatting sqref="L24:N24">
    <cfRule type="cellIs" dxfId="535" priority="1110" operator="equal">
      <formula>"Annual"</formula>
    </cfRule>
    <cfRule type="cellIs" dxfId="534" priority="1113" operator="equal">
      <formula>"Annual"</formula>
    </cfRule>
    <cfRule type="cellIs" dxfId="533" priority="1109" operator="equal">
      <formula>"Annual"</formula>
    </cfRule>
    <cfRule type="cellIs" dxfId="532" priority="1118" operator="equal">
      <formula>"Annual"</formula>
    </cfRule>
    <cfRule type="cellIs" dxfId="531" priority="1117" operator="equal">
      <formula>"Annual"</formula>
    </cfRule>
    <cfRule type="cellIs" dxfId="530" priority="1114" operator="equal">
      <formula>"Annual"</formula>
    </cfRule>
  </conditionalFormatting>
  <conditionalFormatting sqref="L24:N25">
    <cfRule type="cellIs" dxfId="529" priority="1069" operator="equal">
      <formula>"Annual"</formula>
    </cfRule>
    <cfRule type="cellIs" dxfId="528" priority="1056" operator="equal">
      <formula>"CO"</formula>
    </cfRule>
    <cfRule type="cellIs" dxfId="527" priority="1059" operator="equal">
      <formula>"OFF"</formula>
    </cfRule>
    <cfRule type="cellIs" dxfId="526" priority="1070" operator="equal">
      <formula>"Annual"</formula>
    </cfRule>
  </conditionalFormatting>
  <conditionalFormatting sqref="L25:N25">
    <cfRule type="cellIs" dxfId="525" priority="1062" operator="equal">
      <formula>"Annual"</formula>
    </cfRule>
    <cfRule type="cellIs" dxfId="524" priority="1061" operator="equal">
      <formula>"Annual"</formula>
    </cfRule>
    <cfRule type="cellIs" dxfId="523" priority="1057" operator="equal">
      <formula>"Annual"</formula>
    </cfRule>
    <cfRule type="cellIs" dxfId="522" priority="1058" operator="equal">
      <formula>"Annual"</formula>
    </cfRule>
  </conditionalFormatting>
  <conditionalFormatting sqref="L30:N30">
    <cfRule type="cellIs" dxfId="521" priority="742" operator="equal">
      <formula>"Annual"</formula>
    </cfRule>
    <cfRule type="cellIs" dxfId="520" priority="741" operator="equal">
      <formula>"Annual"</formula>
    </cfRule>
  </conditionalFormatting>
  <conditionalFormatting sqref="L14:O14">
    <cfRule type="cellIs" dxfId="519" priority="1291" operator="equal">
      <formula>"OFF"</formula>
    </cfRule>
    <cfRule type="cellIs" dxfId="518" priority="1288" operator="equal">
      <formula>"CO"</formula>
    </cfRule>
    <cfRule type="cellIs" dxfId="517" priority="1293" operator="equal">
      <formula>"Annual"</formula>
    </cfRule>
    <cfRule type="cellIs" dxfId="516" priority="1294" operator="equal">
      <formula>"Annual"</formula>
    </cfRule>
  </conditionalFormatting>
  <conditionalFormatting sqref="L26:O26">
    <cfRule type="cellIs" dxfId="515" priority="985" operator="equal">
      <formula>"Annual"</formula>
    </cfRule>
    <cfRule type="cellIs" dxfId="514" priority="986" operator="equal">
      <formula>"Annual"</formula>
    </cfRule>
  </conditionalFormatting>
  <conditionalFormatting sqref="L13:P14">
    <cfRule type="cellIs" dxfId="513" priority="861" operator="equal">
      <formula>"Annual"</formula>
    </cfRule>
    <cfRule type="cellIs" dxfId="512" priority="862" operator="equal">
      <formula>"Annual"</formula>
    </cfRule>
  </conditionalFormatting>
  <conditionalFormatting sqref="L25:P25">
    <cfRule type="cellIs" dxfId="511" priority="1066" operator="equal">
      <formula>"Annual"</formula>
    </cfRule>
    <cfRule type="cellIs" dxfId="510" priority="1065" operator="equal">
      <formula>"Annual"</formula>
    </cfRule>
  </conditionalFormatting>
  <conditionalFormatting sqref="L13:Q13">
    <cfRule type="cellIs" dxfId="509" priority="760" operator="equal">
      <formula>"CO"</formula>
    </cfRule>
    <cfRule type="cellIs" dxfId="508" priority="763" operator="equal">
      <formula>"OFF"</formula>
    </cfRule>
  </conditionalFormatting>
  <conditionalFormatting sqref="M3 M16:M18 M25 M27">
    <cfRule type="cellIs" dxfId="507" priority="714" operator="equal">
      <formula>"Annual"</formula>
    </cfRule>
    <cfRule type="cellIs" dxfId="506" priority="717" operator="equal">
      <formula>"Annual"</formula>
    </cfRule>
    <cfRule type="cellIs" dxfId="505" priority="726" operator="equal">
      <formula>"Annual"</formula>
    </cfRule>
    <cfRule type="cellIs" dxfId="504" priority="725" operator="equal">
      <formula>"Annual"</formula>
    </cfRule>
    <cfRule type="cellIs" dxfId="503" priority="722" operator="equal">
      <formula>"Annual"</formula>
    </cfRule>
    <cfRule type="cellIs" dxfId="502" priority="721" operator="equal">
      <formula>"Annual"</formula>
    </cfRule>
    <cfRule type="cellIs" dxfId="501" priority="718" operator="equal">
      <formula>"Annual"</formula>
    </cfRule>
  </conditionalFormatting>
  <conditionalFormatting sqref="M3">
    <cfRule type="cellIs" dxfId="500" priority="59" operator="equal">
      <formula>"Annual"</formula>
    </cfRule>
    <cfRule type="cellIs" dxfId="499" priority="61" operator="equal">
      <formula>"OFF"</formula>
    </cfRule>
    <cfRule type="cellIs" dxfId="498" priority="62" operator="equal">
      <formula>"Annual"</formula>
    </cfRule>
    <cfRule type="cellIs" dxfId="497" priority="63" operator="equal">
      <formula>"Annual"</formula>
    </cfRule>
    <cfRule type="cellIs" dxfId="496" priority="64" operator="equal">
      <formula>"Annual"</formula>
    </cfRule>
    <cfRule type="cellIs" dxfId="495" priority="65" operator="equal">
      <formula>"Annual"</formula>
    </cfRule>
    <cfRule type="cellIs" dxfId="494" priority="66" operator="equal">
      <formula>"Annual"</formula>
    </cfRule>
    <cfRule type="cellIs" dxfId="493" priority="67" operator="equal">
      <formula>"Annual"</formula>
    </cfRule>
    <cfRule type="cellIs" dxfId="492" priority="68" operator="equal">
      <formula>"Annual"</formula>
    </cfRule>
    <cfRule type="cellIs" dxfId="491" priority="69" operator="equal">
      <formula>"Annual"</formula>
    </cfRule>
    <cfRule type="cellIs" dxfId="490" priority="70" operator="equal">
      <formula>"Annual"</formula>
    </cfRule>
    <cfRule type="cellIs" dxfId="489" priority="71" operator="equal">
      <formula>"Annual"</formula>
    </cfRule>
    <cfRule type="cellIs" dxfId="488" priority="72" operator="equal">
      <formula>"Annual"</formula>
    </cfRule>
    <cfRule type="cellIs" dxfId="487" priority="73" operator="equal">
      <formula>"Annual"</formula>
    </cfRule>
    <cfRule type="cellIs" dxfId="486" priority="74" operator="equal">
      <formula>"Annual"</formula>
    </cfRule>
    <cfRule type="cellIs" dxfId="485" priority="75" operator="equal">
      <formula>"Annual"</formula>
    </cfRule>
    <cfRule type="cellIs" dxfId="484" priority="76" operator="equal">
      <formula>"Annual"</formula>
    </cfRule>
    <cfRule type="cellIs" dxfId="483" priority="77" operator="equal">
      <formula>"Annual"</formula>
    </cfRule>
    <cfRule type="cellIs" dxfId="482" priority="78" operator="equal">
      <formula>"Annual"</formula>
    </cfRule>
    <cfRule type="cellIs" dxfId="481" priority="79" operator="equal">
      <formula>"Annual"</formula>
    </cfRule>
    <cfRule type="cellIs" dxfId="480" priority="82" operator="equal">
      <formula>"Annual"</formula>
    </cfRule>
    <cfRule type="cellIs" dxfId="479" priority="83" operator="equal">
      <formula>"Annual"</formula>
    </cfRule>
    <cfRule type="cellIs" dxfId="478" priority="86" operator="equal">
      <formula>"Annual"</formula>
    </cfRule>
    <cfRule type="cellIs" dxfId="477" priority="87" operator="equal">
      <formula>"Annual"</formula>
    </cfRule>
    <cfRule type="cellIs" dxfId="476" priority="60" operator="equal">
      <formula>"Annual"</formula>
    </cfRule>
    <cfRule type="cellIs" dxfId="475" priority="58" operator="equal">
      <formula>"CO"</formula>
    </cfRule>
  </conditionalFormatting>
  <conditionalFormatting sqref="M10">
    <cfRule type="cellIs" dxfId="474" priority="628" operator="equal">
      <formula>"CO"</formula>
    </cfRule>
    <cfRule type="cellIs" dxfId="473" priority="629" operator="equal">
      <formula>"Annual"</formula>
    </cfRule>
    <cfRule type="cellIs" dxfId="472" priority="630" operator="equal">
      <formula>"Annual"</formula>
    </cfRule>
    <cfRule type="cellIs" dxfId="471" priority="631" operator="equal">
      <formula>"OFF"</formula>
    </cfRule>
  </conditionalFormatting>
  <conditionalFormatting sqref="M16">
    <cfRule type="cellIs" dxfId="470" priority="710" operator="equal">
      <formula>"Annual"</formula>
    </cfRule>
    <cfRule type="cellIs" dxfId="469" priority="706" operator="equal">
      <formula>"Annual"</formula>
    </cfRule>
    <cfRule type="cellIs" dxfId="468" priority="705" operator="equal">
      <formula>"Annual"</formula>
    </cfRule>
    <cfRule type="cellIs" dxfId="467" priority="702" operator="equal">
      <formula>"Annual"</formula>
    </cfRule>
    <cfRule type="cellIs" dxfId="466" priority="701" operator="equal">
      <formula>"Annual"</formula>
    </cfRule>
  </conditionalFormatting>
  <conditionalFormatting sqref="M16:M17">
    <cfRule type="cellIs" dxfId="465" priority="693" operator="equal">
      <formula>"Annual"</formula>
    </cfRule>
    <cfRule type="cellIs" dxfId="464" priority="694" operator="equal">
      <formula>"Annual"</formula>
    </cfRule>
  </conditionalFormatting>
  <conditionalFormatting sqref="M16:M18 M25 M27 M3">
    <cfRule type="cellIs" dxfId="463" priority="713" operator="equal">
      <formula>"Annual"</formula>
    </cfRule>
  </conditionalFormatting>
  <conditionalFormatting sqref="M16:M18">
    <cfRule type="cellIs" dxfId="462" priority="664" operator="equal">
      <formula>"CO"</formula>
    </cfRule>
    <cfRule type="cellIs" dxfId="461" priority="667" operator="equal">
      <formula>"OFF"</formula>
    </cfRule>
  </conditionalFormatting>
  <conditionalFormatting sqref="M17">
    <cfRule type="cellIs" dxfId="460" priority="686" operator="equal">
      <formula>"Annual"</formula>
    </cfRule>
    <cfRule type="cellIs" dxfId="459" priority="689" operator="equal">
      <formula>"Annual"</formula>
    </cfRule>
    <cfRule type="cellIs" dxfId="458" priority="690" operator="equal">
      <formula>"Annual"</formula>
    </cfRule>
    <cfRule type="cellIs" dxfId="457" priority="685" operator="equal">
      <formula>"Annual"</formula>
    </cfRule>
  </conditionalFormatting>
  <conditionalFormatting sqref="M17:M18">
    <cfRule type="cellIs" dxfId="456" priority="677" operator="equal">
      <formula>"Annual"</formula>
    </cfRule>
    <cfRule type="cellIs" dxfId="455" priority="678" operator="equal">
      <formula>"Annual"</formula>
    </cfRule>
  </conditionalFormatting>
  <conditionalFormatting sqref="M18">
    <cfRule type="cellIs" dxfId="454" priority="670" operator="equal">
      <formula>"Annual"</formula>
    </cfRule>
    <cfRule type="cellIs" dxfId="453" priority="669" operator="equal">
      <formula>"Annual"</formula>
    </cfRule>
    <cfRule type="cellIs" dxfId="452" priority="665" operator="equal">
      <formula>"Annual"</formula>
    </cfRule>
    <cfRule type="cellIs" dxfId="451" priority="666" operator="equal">
      <formula>"Annual"</formula>
    </cfRule>
  </conditionalFormatting>
  <conditionalFormatting sqref="M25">
    <cfRule type="cellIs" dxfId="450" priority="651" operator="equal">
      <formula>"OFF"</formula>
    </cfRule>
    <cfRule type="cellIs" dxfId="449" priority="653" operator="equal">
      <formula>"Annual"</formula>
    </cfRule>
    <cfRule type="cellIs" dxfId="448" priority="654" operator="equal">
      <formula>"Annual"</formula>
    </cfRule>
    <cfRule type="cellIs" dxfId="447" priority="650" operator="equal">
      <formula>"Annual"</formula>
    </cfRule>
    <cfRule type="cellIs" dxfId="446" priority="648" operator="equal">
      <formula>"CO"</formula>
    </cfRule>
    <cfRule type="cellIs" dxfId="445" priority="662" operator="equal">
      <formula>"Annual"</formula>
    </cfRule>
    <cfRule type="cellIs" dxfId="444" priority="661" operator="equal">
      <formula>"Annual"</formula>
    </cfRule>
    <cfRule type="cellIs" dxfId="443" priority="658" operator="equal">
      <formula>"Annual"</formula>
    </cfRule>
    <cfRule type="cellIs" dxfId="442" priority="657" operator="equal">
      <formula>"Annual"</formula>
    </cfRule>
    <cfRule type="cellIs" dxfId="441" priority="649" operator="equal">
      <formula>"Annual"</formula>
    </cfRule>
  </conditionalFormatting>
  <conditionalFormatting sqref="M27">
    <cfRule type="cellIs" dxfId="440" priority="638" operator="equal">
      <formula>"Annual"</formula>
    </cfRule>
    <cfRule type="cellIs" dxfId="439" priority="634" operator="equal">
      <formula>"Annual"</formula>
    </cfRule>
    <cfRule type="cellIs" dxfId="438" priority="633" operator="equal">
      <formula>"Annual"</formula>
    </cfRule>
    <cfRule type="cellIs" dxfId="437" priority="646" operator="equal">
      <formula>"Annual"</formula>
    </cfRule>
    <cfRule type="cellIs" dxfId="436" priority="642" operator="equal">
      <formula>"Annual"</formula>
    </cfRule>
    <cfRule type="cellIs" dxfId="435" priority="637" operator="equal">
      <formula>"Annual"</formula>
    </cfRule>
    <cfRule type="cellIs" dxfId="434" priority="645" operator="equal">
      <formula>"Annual"</formula>
    </cfRule>
    <cfRule type="cellIs" dxfId="433" priority="641" operator="equal">
      <formula>"Annual"</formula>
    </cfRule>
  </conditionalFormatting>
  <conditionalFormatting sqref="M10:N11">
    <cfRule type="cellIs" dxfId="432" priority="228" operator="equal">
      <formula>"CO"</formula>
    </cfRule>
    <cfRule type="cellIs" dxfId="431" priority="231" operator="equal">
      <formula>"OFF"</formula>
    </cfRule>
  </conditionalFormatting>
  <conditionalFormatting sqref="M26:N26">
    <cfRule type="cellIs" dxfId="430" priority="982" operator="equal">
      <formula>"Annual"</formula>
    </cfRule>
    <cfRule type="cellIs" dxfId="429" priority="977" operator="equal">
      <formula>"Annual"</formula>
    </cfRule>
    <cfRule type="cellIs" dxfId="428" priority="978" operator="equal">
      <formula>"Annual"</formula>
    </cfRule>
    <cfRule type="cellIs" dxfId="427" priority="981" operator="equal">
      <formula>"Annual"</formula>
    </cfRule>
  </conditionalFormatting>
  <conditionalFormatting sqref="M26:N27">
    <cfRule type="cellIs" dxfId="426" priority="990" operator="equal">
      <formula>"Annual"</formula>
    </cfRule>
    <cfRule type="cellIs" dxfId="425" priority="989" operator="equal">
      <formula>"Annual"</formula>
    </cfRule>
  </conditionalFormatting>
  <conditionalFormatting sqref="M27:N27">
    <cfRule type="cellIs" dxfId="424" priority="1021" operator="equal">
      <formula>"Annual"</formula>
    </cfRule>
    <cfRule type="cellIs" dxfId="423" priority="1022" operator="equal">
      <formula>"Annual"</formula>
    </cfRule>
    <cfRule type="cellIs" dxfId="422" priority="1018" operator="equal">
      <formula>"Annual"</formula>
    </cfRule>
    <cfRule type="cellIs" dxfId="421" priority="1017" operator="equal">
      <formula>"Annual"</formula>
    </cfRule>
    <cfRule type="cellIs" dxfId="420" priority="1014" operator="equal">
      <formula>"Annual"</formula>
    </cfRule>
    <cfRule type="cellIs" dxfId="419" priority="1013" operator="equal">
      <formula>"Annual"</formula>
    </cfRule>
  </conditionalFormatting>
  <conditionalFormatting sqref="M30:N30">
    <cfRule type="cellIs" dxfId="418" priority="1174" operator="equal">
      <formula>"Annual"</formula>
    </cfRule>
    <cfRule type="cellIs" dxfId="417" priority="1173" operator="equal">
      <formula>"Annual"</formula>
    </cfRule>
    <cfRule type="cellIs" dxfId="416" priority="1177" operator="equal">
      <formula>"Annual"</formula>
    </cfRule>
    <cfRule type="cellIs" dxfId="415" priority="1178" operator="equal">
      <formula>"Annual"</formula>
    </cfRule>
    <cfRule type="cellIs" dxfId="414" priority="1182" operator="equal">
      <formula>"Annual"</formula>
    </cfRule>
    <cfRule type="cellIs" dxfId="413" priority="1171" operator="equal">
      <formula>"OFF"</formula>
    </cfRule>
    <cfRule type="cellIs" dxfId="412" priority="1181" operator="equal">
      <formula>"Annual"</formula>
    </cfRule>
    <cfRule type="cellIs" dxfId="411" priority="1168" operator="equal">
      <formula>"CO"</formula>
    </cfRule>
  </conditionalFormatting>
  <conditionalFormatting sqref="M17:O17">
    <cfRule type="cellIs" dxfId="410" priority="1265" operator="equal">
      <formula>"Annual"</formula>
    </cfRule>
    <cfRule type="cellIs" dxfId="409" priority="1266" operator="equal">
      <formula>"Annual"</formula>
    </cfRule>
    <cfRule type="cellIs" dxfId="408" priority="1274" operator="equal">
      <formula>"Annual"</formula>
    </cfRule>
    <cfRule type="cellIs" dxfId="407" priority="1267" operator="equal">
      <formula>"OFF"</formula>
    </cfRule>
    <cfRule type="cellIs" dxfId="406" priority="1270" operator="equal">
      <formula>"Annual"</formula>
    </cfRule>
    <cfRule type="cellIs" dxfId="405" priority="1273" operator="equal">
      <formula>"Annual"</formula>
    </cfRule>
    <cfRule type="cellIs" dxfId="404" priority="1277" operator="equal">
      <formula>"Annual"</formula>
    </cfRule>
    <cfRule type="cellIs" dxfId="403" priority="1278" operator="equal">
      <formula>"Annual"</formula>
    </cfRule>
    <cfRule type="cellIs" dxfId="402" priority="1269" operator="equal">
      <formula>"Annual"</formula>
    </cfRule>
    <cfRule type="cellIs" dxfId="401" priority="1264" operator="equal">
      <formula>"CO"</formula>
    </cfRule>
  </conditionalFormatting>
  <conditionalFormatting sqref="M26:O27">
    <cfRule type="cellIs" dxfId="400" priority="427" operator="equal">
      <formula>"OFF"</formula>
    </cfRule>
    <cfRule type="cellIs" dxfId="399" priority="424" operator="equal">
      <formula>"CO"</formula>
    </cfRule>
  </conditionalFormatting>
  <conditionalFormatting sqref="M18:P18">
    <cfRule type="cellIs" dxfId="398" priority="674" operator="equal">
      <formula>"Annual"</formula>
    </cfRule>
    <cfRule type="cellIs" dxfId="397" priority="673" operator="equal">
      <formula>"Annual"</formula>
    </cfRule>
  </conditionalFormatting>
  <conditionalFormatting sqref="N4">
    <cfRule type="cellIs" dxfId="396" priority="16" operator="equal">
      <formula>"Annual"</formula>
    </cfRule>
    <cfRule type="cellIs" dxfId="395" priority="17" operator="equal">
      <formula>"Annual"</formula>
    </cfRule>
    <cfRule type="cellIs" dxfId="394" priority="18" operator="equal">
      <formula>"Annual"</formula>
    </cfRule>
    <cfRule type="cellIs" dxfId="393" priority="19" operator="equal">
      <formula>"Annual"</formula>
    </cfRule>
    <cfRule type="cellIs" dxfId="392" priority="20" operator="equal">
      <formula>"Annual"</formula>
    </cfRule>
    <cfRule type="cellIs" dxfId="391" priority="21" operator="equal">
      <formula>"Annual"</formula>
    </cfRule>
    <cfRule type="cellIs" dxfId="390" priority="22" operator="equal">
      <formula>"Annual"</formula>
    </cfRule>
    <cfRule type="cellIs" dxfId="389" priority="23" operator="equal">
      <formula>"Annual"</formula>
    </cfRule>
    <cfRule type="cellIs" dxfId="388" priority="24" operator="equal">
      <formula>"Annual"</formula>
    </cfRule>
    <cfRule type="cellIs" dxfId="387" priority="25" operator="equal">
      <formula>"Annual"</formula>
    </cfRule>
    <cfRule type="cellIs" dxfId="386" priority="26" operator="equal">
      <formula>"Annual"</formula>
    </cfRule>
    <cfRule type="cellIs" dxfId="385" priority="27" operator="equal">
      <formula>"Annual"</formula>
    </cfRule>
    <cfRule type="cellIs" dxfId="384" priority="28" operator="equal">
      <formula>"Annual"</formula>
    </cfRule>
    <cfRule type="cellIs" dxfId="383" priority="29" operator="equal">
      <formula>"Annual"</formula>
    </cfRule>
    <cfRule type="cellIs" dxfId="382" priority="30" operator="equal">
      <formula>"Annual"</formula>
    </cfRule>
    <cfRule type="cellIs" dxfId="381" priority="31" operator="equal">
      <formula>"Annual"</formula>
    </cfRule>
    <cfRule type="cellIs" dxfId="380" priority="34" operator="equal">
      <formula>"Annual"</formula>
    </cfRule>
    <cfRule type="cellIs" dxfId="379" priority="35" operator="equal">
      <formula>"Annual"</formula>
    </cfRule>
    <cfRule type="cellIs" dxfId="378" priority="38" operator="equal">
      <formula>"Annual"</formula>
    </cfRule>
    <cfRule type="cellIs" dxfId="377" priority="39" operator="equal">
      <formula>"Annual"</formula>
    </cfRule>
    <cfRule type="cellIs" dxfId="376" priority="40" operator="equal">
      <formula>"Annual"</formula>
    </cfRule>
    <cfRule type="cellIs" dxfId="375" priority="41" operator="equal">
      <formula>"Annual"</formula>
    </cfRule>
    <cfRule type="cellIs" dxfId="374" priority="42" operator="equal">
      <formula>"Annual"</formula>
    </cfRule>
    <cfRule type="cellIs" dxfId="373" priority="43" operator="equal">
      <formula>"Annual"</formula>
    </cfRule>
    <cfRule type="cellIs" dxfId="372" priority="44" operator="equal">
      <formula>"Annual"</formula>
    </cfRule>
    <cfRule type="cellIs" dxfId="371" priority="45" operator="equal">
      <formula>"Annual"</formula>
    </cfRule>
    <cfRule type="cellIs" dxfId="370" priority="46" operator="equal">
      <formula>"Annual"</formula>
    </cfRule>
    <cfRule type="cellIs" dxfId="369" priority="47" operator="equal">
      <formula>"Annual"</formula>
    </cfRule>
    <cfRule type="cellIs" dxfId="368" priority="48" operator="equal">
      <formula>"Annual"</formula>
    </cfRule>
    <cfRule type="cellIs" dxfId="367" priority="49" operator="equal">
      <formula>"Annual"</formula>
    </cfRule>
    <cfRule type="cellIs" dxfId="366" priority="10" operator="equal">
      <formula>"CO"</formula>
    </cfRule>
    <cfRule type="cellIs" dxfId="365" priority="11" operator="equal">
      <formula>"Annual"</formula>
    </cfRule>
    <cfRule type="cellIs" dxfId="364" priority="12" operator="equal">
      <formula>"Annual"</formula>
    </cfRule>
    <cfRule type="cellIs" dxfId="363" priority="13" operator="equal">
      <formula>"OFF"</formula>
    </cfRule>
    <cfRule type="cellIs" dxfId="362" priority="14" operator="equal">
      <formula>"Annual"</formula>
    </cfRule>
    <cfRule type="cellIs" dxfId="361" priority="15" operator="equal">
      <formula>"Annual"</formula>
    </cfRule>
  </conditionalFormatting>
  <conditionalFormatting sqref="N6">
    <cfRule type="cellIs" dxfId="360" priority="625" operator="equal">
      <formula>"Annual"</formula>
    </cfRule>
    <cfRule type="cellIs" dxfId="359" priority="622" operator="equal">
      <formula>"Annual"</formula>
    </cfRule>
    <cfRule type="cellIs" dxfId="358" priority="621" operator="equal">
      <formula>"Annual"</formula>
    </cfRule>
    <cfRule type="cellIs" dxfId="357" priority="618" operator="equal">
      <formula>"Annual"</formula>
    </cfRule>
    <cfRule type="cellIs" dxfId="356" priority="617" operator="equal">
      <formula>"Annual"</formula>
    </cfRule>
    <cfRule type="cellIs" dxfId="355" priority="626" operator="equal">
      <formula>"Annual"</formula>
    </cfRule>
  </conditionalFormatting>
  <conditionalFormatting sqref="N6:N7">
    <cfRule type="cellIs" dxfId="354" priority="610" operator="equal">
      <formula>"Annual"</formula>
    </cfRule>
    <cfRule type="cellIs" dxfId="353" priority="596" operator="equal">
      <formula>"CO"</formula>
    </cfRule>
    <cfRule type="cellIs" dxfId="352" priority="609" operator="equal">
      <formula>"Annual"</formula>
    </cfRule>
    <cfRule type="cellIs" dxfId="351" priority="599" operator="equal">
      <formula>"OFF"</formula>
    </cfRule>
  </conditionalFormatting>
  <conditionalFormatting sqref="N7">
    <cfRule type="cellIs" dxfId="350" priority="605" operator="equal">
      <formula>"Annual"</formula>
    </cfRule>
    <cfRule type="cellIs" dxfId="349" priority="606" operator="equal">
      <formula>"Annual"</formula>
    </cfRule>
    <cfRule type="cellIs" dxfId="348" priority="597" operator="equal">
      <formula>"Annual"</formula>
    </cfRule>
    <cfRule type="cellIs" dxfId="347" priority="602" operator="equal">
      <formula>"Annual"</formula>
    </cfRule>
    <cfRule type="cellIs" dxfId="346" priority="601" operator="equal">
      <formula>"Annual"</formula>
    </cfRule>
    <cfRule type="cellIs" dxfId="345" priority="598" operator="equal">
      <formula>"Annual"</formula>
    </cfRule>
  </conditionalFormatting>
  <conditionalFormatting sqref="N10:N11">
    <cfRule type="cellIs" dxfId="344" priority="230" operator="equal">
      <formula>"Annual"</formula>
    </cfRule>
    <cfRule type="cellIs" dxfId="343" priority="229" operator="equal">
      <formula>"Annual"</formula>
    </cfRule>
  </conditionalFormatting>
  <conditionalFormatting sqref="N11">
    <cfRule type="cellIs" dxfId="342" priority="593" operator="equal">
      <formula>"Annual"</formula>
    </cfRule>
    <cfRule type="cellIs" dxfId="341" priority="594" operator="equal">
      <formula>"Annual"</formula>
    </cfRule>
    <cfRule type="cellIs" dxfId="340" priority="590" operator="equal">
      <formula>"Annual"</formula>
    </cfRule>
    <cfRule type="cellIs" dxfId="339" priority="589" operator="equal">
      <formula>"Annual"</formula>
    </cfRule>
    <cfRule type="cellIs" dxfId="338" priority="586" operator="equal">
      <formula>"Annual"</formula>
    </cfRule>
    <cfRule type="cellIs" dxfId="337" priority="585" operator="equal">
      <formula>"Annual"</formula>
    </cfRule>
  </conditionalFormatting>
  <conditionalFormatting sqref="N19">
    <cfRule type="cellIs" dxfId="336" priority="573" operator="equal">
      <formula>"Annual"</formula>
    </cfRule>
    <cfRule type="cellIs" dxfId="335" priority="570" operator="equal">
      <formula>"Annual"</formula>
    </cfRule>
    <cfRule type="cellIs" dxfId="334" priority="569" operator="equal">
      <formula>"Annual"</formula>
    </cfRule>
    <cfRule type="cellIs" dxfId="333" priority="565" operator="equal">
      <formula>"Annual"</formula>
    </cfRule>
    <cfRule type="cellIs" dxfId="332" priority="566" operator="equal">
      <formula>"Annual"</formula>
    </cfRule>
    <cfRule type="cellIs" dxfId="331" priority="574" operator="equal">
      <formula>"Annual"</formula>
    </cfRule>
  </conditionalFormatting>
  <conditionalFormatting sqref="N21">
    <cfRule type="cellIs" dxfId="330" priority="557" operator="equal">
      <formula>"Annual"</formula>
    </cfRule>
    <cfRule type="cellIs" dxfId="329" priority="554" operator="equal">
      <formula>"Annual"</formula>
    </cfRule>
    <cfRule type="cellIs" dxfId="328" priority="558" operator="equal">
      <formula>"Annual"</formula>
    </cfRule>
    <cfRule type="cellIs" dxfId="327" priority="553" operator="equal">
      <formula>"Annual"</formula>
    </cfRule>
  </conditionalFormatting>
  <conditionalFormatting sqref="N21:N22">
    <cfRule type="cellIs" dxfId="326" priority="535" operator="equal">
      <formula>"OFF"</formula>
    </cfRule>
    <cfRule type="cellIs" dxfId="325" priority="532" operator="equal">
      <formula>"CO"</formula>
    </cfRule>
    <cfRule type="cellIs" dxfId="324" priority="545" operator="equal">
      <formula>"Annual"</formula>
    </cfRule>
    <cfRule type="cellIs" dxfId="323" priority="546" operator="equal">
      <formula>"Annual"</formula>
    </cfRule>
  </conditionalFormatting>
  <conditionalFormatting sqref="N22">
    <cfRule type="cellIs" dxfId="322" priority="534" operator="equal">
      <formula>"Annual"</formula>
    </cfRule>
    <cfRule type="cellIs" dxfId="321" priority="542" operator="equal">
      <formula>"Annual"</formula>
    </cfRule>
    <cfRule type="cellIs" dxfId="320" priority="533" operator="equal">
      <formula>"Annual"</formula>
    </cfRule>
    <cfRule type="cellIs" dxfId="319" priority="541" operator="equal">
      <formula>"Annual"</formula>
    </cfRule>
    <cfRule type="cellIs" dxfId="318" priority="538" operator="equal">
      <formula>"Annual"</formula>
    </cfRule>
    <cfRule type="cellIs" dxfId="317" priority="537" operator="equal">
      <formula>"Annual"</formula>
    </cfRule>
  </conditionalFormatting>
  <conditionalFormatting sqref="N12:P13">
    <cfRule type="cellIs" dxfId="316" priority="1320" operator="equal">
      <formula>"CO"</formula>
    </cfRule>
    <cfRule type="cellIs" dxfId="315" priority="1323" operator="equal">
      <formula>"OFF"</formula>
    </cfRule>
  </conditionalFormatting>
  <conditionalFormatting sqref="N18:P18">
    <cfRule type="cellIs" dxfId="314" priority="1248" operator="equal">
      <formula>"CO"</formula>
    </cfRule>
    <cfRule type="cellIs" dxfId="313" priority="1251" operator="equal">
      <formula>"OFF"</formula>
    </cfRule>
    <cfRule type="cellIs" dxfId="312" priority="1253" operator="equal">
      <formula>"Annual"</formula>
    </cfRule>
    <cfRule type="cellIs" dxfId="311" priority="1254" operator="equal">
      <formula>"Annual"</formula>
    </cfRule>
    <cfRule type="cellIs" dxfId="310" priority="1257" operator="equal">
      <formula>"Annual"</formula>
    </cfRule>
    <cfRule type="cellIs" dxfId="309" priority="1258" operator="equal">
      <formula>"Annual"</formula>
    </cfRule>
    <cfRule type="cellIs" dxfId="308" priority="1261" operator="equal">
      <formula>"Annual"</formula>
    </cfRule>
    <cfRule type="cellIs" dxfId="307" priority="1262" operator="equal">
      <formula>"Annual"</formula>
    </cfRule>
  </conditionalFormatting>
  <conditionalFormatting sqref="N20:P20">
    <cfRule type="cellIs" dxfId="306" priority="1184" operator="equal">
      <formula>"CO"</formula>
    </cfRule>
    <cfRule type="cellIs" dxfId="305" priority="1185" operator="equal">
      <formula>"Annual"</formula>
    </cfRule>
    <cfRule type="cellIs" dxfId="304" priority="1187" operator="equal">
      <formula>"OFF"</formula>
    </cfRule>
    <cfRule type="cellIs" dxfId="303" priority="1190" operator="equal">
      <formula>"Annual"</formula>
    </cfRule>
    <cfRule type="cellIs" dxfId="302" priority="1186" operator="equal">
      <formula>"Annual"</formula>
    </cfRule>
    <cfRule type="cellIs" dxfId="301" priority="1193" operator="equal">
      <formula>"Annual"</formula>
    </cfRule>
    <cfRule type="cellIs" dxfId="300" priority="1194" operator="equal">
      <formula>"Annual"</formula>
    </cfRule>
    <cfRule type="cellIs" dxfId="299" priority="1197" operator="equal">
      <formula>"Annual"</formula>
    </cfRule>
    <cfRule type="cellIs" dxfId="298" priority="1198" operator="equal">
      <formula>"Annual"</formula>
    </cfRule>
    <cfRule type="cellIs" dxfId="297" priority="1189" operator="equal">
      <formula>"Annual"</formula>
    </cfRule>
  </conditionalFormatting>
  <conditionalFormatting sqref="N28:P28">
    <cfRule type="cellIs" dxfId="296" priority="777" operator="equal">
      <formula>"Annual"</formula>
    </cfRule>
    <cfRule type="cellIs" dxfId="295" priority="778" operator="equal">
      <formula>"Annual"</formula>
    </cfRule>
    <cfRule type="cellIs" dxfId="294" priority="782" operator="equal">
      <formula>"Annual"</formula>
    </cfRule>
    <cfRule type="cellIs" dxfId="293" priority="781" operator="equal">
      <formula>"Annual"</formula>
    </cfRule>
  </conditionalFormatting>
  <conditionalFormatting sqref="N28:P29">
    <cfRule type="cellIs" dxfId="292" priority="789" operator="equal">
      <formula>"Annual"</formula>
    </cfRule>
    <cfRule type="cellIs" dxfId="291" priority="790" operator="equal">
      <formula>"Annual"</formula>
    </cfRule>
  </conditionalFormatting>
  <conditionalFormatting sqref="N29:P29">
    <cfRule type="cellIs" dxfId="290" priority="885" operator="equal">
      <formula>"Annual"</formula>
    </cfRule>
    <cfRule type="cellIs" dxfId="289" priority="886" operator="equal">
      <formula>"Annual"</formula>
    </cfRule>
    <cfRule type="cellIs" dxfId="288" priority="890" operator="equal">
      <formula>"Annual"</formula>
    </cfRule>
    <cfRule type="cellIs" dxfId="287" priority="889" operator="equal">
      <formula>"Annual"</formula>
    </cfRule>
  </conditionalFormatting>
  <conditionalFormatting sqref="N31:P31">
    <cfRule type="cellIs" dxfId="286" priority="905" operator="equal">
      <formula>"Annual"</formula>
    </cfRule>
    <cfRule type="cellIs" dxfId="285" priority="910" operator="equal">
      <formula>"Annual"</formula>
    </cfRule>
    <cfRule type="cellIs" dxfId="284" priority="902" operator="equal">
      <formula>"Annual"</formula>
    </cfRule>
    <cfRule type="cellIs" dxfId="283" priority="909" operator="equal">
      <formula>"Annual"</formula>
    </cfRule>
    <cfRule type="cellIs" dxfId="282" priority="901" operator="equal">
      <formula>"Annual"</formula>
    </cfRule>
    <cfRule type="cellIs" dxfId="281" priority="906" operator="equal">
      <formula>"Annual"</formula>
    </cfRule>
  </conditionalFormatting>
  <conditionalFormatting sqref="O9:O10 K10:Q12 L13:Q13 O24">
    <cfRule type="cellIs" dxfId="280" priority="1681" operator="equal">
      <formula>"Annual"</formula>
    </cfRule>
  </conditionalFormatting>
  <conditionalFormatting sqref="O9:O10 K10:Q12 O24 L13:Q13">
    <cfRule type="cellIs" dxfId="279" priority="1680" operator="equal">
      <formula>"Annual"</formula>
    </cfRule>
  </conditionalFormatting>
  <conditionalFormatting sqref="O9:O10 O12:O13 O24 O27">
    <cfRule type="cellIs" dxfId="278" priority="530" operator="equal">
      <formula>"Annual"</formula>
    </cfRule>
    <cfRule type="cellIs" dxfId="277" priority="529" operator="equal">
      <formula>"Annual"</formula>
    </cfRule>
    <cfRule type="cellIs" dxfId="276" priority="518" operator="equal">
      <formula>"Annual"</formula>
    </cfRule>
    <cfRule type="cellIs" dxfId="275" priority="517" operator="equal">
      <formula>"Annual"</formula>
    </cfRule>
    <cfRule type="cellIs" dxfId="274" priority="514" operator="equal">
      <formula>"Annual"</formula>
    </cfRule>
    <cfRule type="cellIs" dxfId="273" priority="526" operator="equal">
      <formula>"Annual"</formula>
    </cfRule>
    <cfRule type="cellIs" dxfId="272" priority="525" operator="equal">
      <formula>"Annual"</formula>
    </cfRule>
    <cfRule type="cellIs" dxfId="271" priority="522" operator="equal">
      <formula>"Annual"</formula>
    </cfRule>
    <cfRule type="cellIs" dxfId="270" priority="521" operator="equal">
      <formula>"Annual"</formula>
    </cfRule>
  </conditionalFormatting>
  <conditionalFormatting sqref="O9:O13">
    <cfRule type="cellIs" dxfId="269" priority="475" operator="equal">
      <formula>"OFF"</formula>
    </cfRule>
    <cfRule type="cellIs" dxfId="268" priority="472" operator="equal">
      <formula>"CO"</formula>
    </cfRule>
  </conditionalFormatting>
  <conditionalFormatting sqref="O12">
    <cfRule type="cellIs" dxfId="267" priority="505" operator="equal">
      <formula>"Annual"</formula>
    </cfRule>
    <cfRule type="cellIs" dxfId="266" priority="502" operator="equal">
      <formula>"Annual"</formula>
    </cfRule>
    <cfRule type="cellIs" dxfId="265" priority="501" operator="equal">
      <formula>"Annual"</formula>
    </cfRule>
    <cfRule type="cellIs" dxfId="264" priority="498" operator="equal">
      <formula>"Annual"</formula>
    </cfRule>
    <cfRule type="cellIs" dxfId="263" priority="497" operator="equal">
      <formula>"Annual"</formula>
    </cfRule>
    <cfRule type="cellIs" dxfId="262" priority="510" operator="equal">
      <formula>"Annual"</formula>
    </cfRule>
    <cfRule type="cellIs" dxfId="261" priority="509" operator="equal">
      <formula>"Annual"</formula>
    </cfRule>
    <cfRule type="cellIs" dxfId="260" priority="506" operator="equal">
      <formula>"Annual"</formula>
    </cfRule>
  </conditionalFormatting>
  <conditionalFormatting sqref="O12:O13 O24 O27 O9:O10">
    <cfRule type="cellIs" dxfId="259" priority="513" operator="equal">
      <formula>"Annual"</formula>
    </cfRule>
  </conditionalFormatting>
  <conditionalFormatting sqref="O12:O13">
    <cfRule type="cellIs" dxfId="258" priority="490" operator="equal">
      <formula>"Annual"</formula>
    </cfRule>
    <cfRule type="cellIs" dxfId="257" priority="489" operator="equal">
      <formula>"Annual"</formula>
    </cfRule>
  </conditionalFormatting>
  <conditionalFormatting sqref="O13">
    <cfRule type="cellIs" dxfId="256" priority="486" operator="equal">
      <formula>"Annual"</formula>
    </cfRule>
    <cfRule type="cellIs" dxfId="255" priority="485" operator="equal">
      <formula>"Annual"</formula>
    </cfRule>
    <cfRule type="cellIs" dxfId="254" priority="482" operator="equal">
      <formula>"Annual"</formula>
    </cfRule>
    <cfRule type="cellIs" dxfId="253" priority="481" operator="equal">
      <formula>"Annual"</formula>
    </cfRule>
    <cfRule type="cellIs" dxfId="252" priority="478" operator="equal">
      <formula>"Annual"</formula>
    </cfRule>
    <cfRule type="cellIs" dxfId="251" priority="474" operator="equal">
      <formula>"Annual"</formula>
    </cfRule>
    <cfRule type="cellIs" dxfId="250" priority="473" operator="equal">
      <formula>"Annual"</formula>
    </cfRule>
    <cfRule type="cellIs" dxfId="249" priority="477" operator="equal">
      <formula>"Annual"</formula>
    </cfRule>
  </conditionalFormatting>
  <conditionalFormatting sqref="O24">
    <cfRule type="cellIs" dxfId="248" priority="465" operator="equal">
      <formula>"Annual"</formula>
    </cfRule>
    <cfRule type="cellIs" dxfId="247" priority="462" operator="equal">
      <formula>"Annual"</formula>
    </cfRule>
    <cfRule type="cellIs" dxfId="246" priority="461" operator="equal">
      <formula>"Annual"</formula>
    </cfRule>
    <cfRule type="cellIs" dxfId="245" priority="458" operator="equal">
      <formula>"Annual"</formula>
    </cfRule>
    <cfRule type="cellIs" dxfId="244" priority="457" operator="equal">
      <formula>"Annual"</formula>
    </cfRule>
    <cfRule type="cellIs" dxfId="243" priority="454" operator="equal">
      <formula>"Annual"</formula>
    </cfRule>
    <cfRule type="cellIs" dxfId="242" priority="451" operator="equal">
      <formula>"OFF"</formula>
    </cfRule>
    <cfRule type="cellIs" dxfId="241" priority="450" operator="equal">
      <formula>"Annual"</formula>
    </cfRule>
    <cfRule type="cellIs" dxfId="240" priority="449" operator="equal">
      <formula>"Annual"</formula>
    </cfRule>
    <cfRule type="cellIs" dxfId="239" priority="448" operator="equal">
      <formula>"CO"</formula>
    </cfRule>
    <cfRule type="cellIs" dxfId="238" priority="453" operator="equal">
      <formula>"Annual"</formula>
    </cfRule>
    <cfRule type="cellIs" dxfId="237" priority="470" operator="equal">
      <formula>"Annual"</formula>
    </cfRule>
    <cfRule type="cellIs" dxfId="236" priority="469" operator="equal">
      <formula>"Annual"</formula>
    </cfRule>
    <cfRule type="cellIs" dxfId="235" priority="466" operator="equal">
      <formula>"Annual"</formula>
    </cfRule>
  </conditionalFormatting>
  <conditionalFormatting sqref="O26">
    <cfRule type="cellIs" dxfId="234" priority="1029" operator="equal">
      <formula>"Annual"</formula>
    </cfRule>
    <cfRule type="cellIs" dxfId="233" priority="1030" operator="equal">
      <formula>"Annual"</formula>
    </cfRule>
    <cfRule type="cellIs" dxfId="232" priority="1034" operator="equal">
      <formula>"Annual"</formula>
    </cfRule>
    <cfRule type="cellIs" dxfId="231" priority="1033" operator="equal">
      <formula>"Annual"</formula>
    </cfRule>
  </conditionalFormatting>
  <conditionalFormatting sqref="O26:O27">
    <cfRule type="cellIs" dxfId="230" priority="1038" operator="equal">
      <formula>"Annual"</formula>
    </cfRule>
    <cfRule type="cellIs" dxfId="229" priority="1037" operator="equal">
      <formula>"Annual"</formula>
    </cfRule>
  </conditionalFormatting>
  <conditionalFormatting sqref="O27">
    <cfRule type="cellIs" dxfId="228" priority="958" operator="equal">
      <formula>"Annual"</formula>
    </cfRule>
    <cfRule type="cellIs" dxfId="227" priority="954" operator="equal">
      <formula>"Annual"</formula>
    </cfRule>
    <cfRule type="cellIs" dxfId="226" priority="425" operator="equal">
      <formula>"Annual"</formula>
    </cfRule>
    <cfRule type="cellIs" dxfId="225" priority="426" operator="equal">
      <formula>"Annual"</formula>
    </cfRule>
    <cfRule type="cellIs" dxfId="224" priority="429" operator="equal">
      <formula>"Annual"</formula>
    </cfRule>
    <cfRule type="cellIs" dxfId="223" priority="430" operator="equal">
      <formula>"Annual"</formula>
    </cfRule>
    <cfRule type="cellIs" dxfId="222" priority="953" operator="equal">
      <formula>"Annual"</formula>
    </cfRule>
    <cfRule type="cellIs" dxfId="221" priority="957" operator="equal">
      <formula>"Annual"</formula>
    </cfRule>
    <cfRule type="cellIs" dxfId="220" priority="945" operator="equal">
      <formula>"Annual"</formula>
    </cfRule>
    <cfRule type="cellIs" dxfId="219" priority="433" operator="equal">
      <formula>"Annual"</formula>
    </cfRule>
    <cfRule type="cellIs" dxfId="218" priority="949" operator="equal">
      <formula>"Annual"</formula>
    </cfRule>
    <cfRule type="cellIs" dxfId="217" priority="946" operator="equal">
      <formula>"Annual"</formula>
    </cfRule>
    <cfRule type="cellIs" dxfId="216" priority="446" operator="equal">
      <formula>"Annual"</formula>
    </cfRule>
    <cfRule type="cellIs" dxfId="215" priority="445" operator="equal">
      <formula>"Annual"</formula>
    </cfRule>
    <cfRule type="cellIs" dxfId="214" priority="442" operator="equal">
      <formula>"Annual"</formula>
    </cfRule>
    <cfRule type="cellIs" dxfId="213" priority="441" operator="equal">
      <formula>"Annual"</formula>
    </cfRule>
    <cfRule type="cellIs" dxfId="212" priority="438" operator="equal">
      <formula>"Annual"</formula>
    </cfRule>
    <cfRule type="cellIs" dxfId="211" priority="437" operator="equal">
      <formula>"Annual"</formula>
    </cfRule>
    <cfRule type="cellIs" dxfId="210" priority="434" operator="equal">
      <formula>"Annual"</formula>
    </cfRule>
    <cfRule type="cellIs" dxfId="209" priority="950" operator="equal">
      <formula>"Annual"</formula>
    </cfRule>
  </conditionalFormatting>
  <conditionalFormatting sqref="O23:P24">
    <cfRule type="cellIs" dxfId="208" priority="1134" operator="equal">
      <formula>"Annual"</formula>
    </cfRule>
    <cfRule type="cellIs" dxfId="207" priority="1133" operator="equal">
      <formula>"Annual"</formula>
    </cfRule>
    <cfRule type="cellIs" dxfId="206" priority="1125" operator="equal">
      <formula>"Annual"</formula>
    </cfRule>
    <cfRule type="cellIs" dxfId="205" priority="1126" operator="equal">
      <formula>"Annual"</formula>
    </cfRule>
    <cfRule type="cellIs" dxfId="204" priority="1129" operator="equal">
      <formula>"Annual"</formula>
    </cfRule>
    <cfRule type="cellIs" dxfId="203" priority="1130" operator="equal">
      <formula>"Annual"</formula>
    </cfRule>
  </conditionalFormatting>
  <conditionalFormatting sqref="O23:P25">
    <cfRule type="cellIs" dxfId="202" priority="1072" operator="equal">
      <formula>"CO"</formula>
    </cfRule>
    <cfRule type="cellIs" dxfId="201" priority="1075" operator="equal">
      <formula>"OFF"</formula>
    </cfRule>
    <cfRule type="cellIs" dxfId="200" priority="1085" operator="equal">
      <formula>"Annual"</formula>
    </cfRule>
    <cfRule type="cellIs" dxfId="199" priority="1086" operator="equal">
      <formula>"Annual"</formula>
    </cfRule>
  </conditionalFormatting>
  <conditionalFormatting sqref="O25:P25">
    <cfRule type="cellIs" dxfId="198" priority="1078" operator="equal">
      <formula>"Annual"</formula>
    </cfRule>
    <cfRule type="cellIs" dxfId="197" priority="1082" operator="equal">
      <formula>"Annual"</formula>
    </cfRule>
    <cfRule type="cellIs" dxfId="196" priority="1081" operator="equal">
      <formula>"Annual"</formula>
    </cfRule>
    <cfRule type="cellIs" dxfId="195" priority="1077" operator="equal">
      <formula>"Annual"</formula>
    </cfRule>
  </conditionalFormatting>
  <conditionalFormatting sqref="P3 P11 P14 P16:P17 P19 P26 P28:P29">
    <cfRule type="cellIs" dxfId="194" priority="422" operator="equal">
      <formula>"Annual"</formula>
    </cfRule>
    <cfRule type="cellIs" dxfId="193" priority="421" operator="equal">
      <formula>"Annual"</formula>
    </cfRule>
  </conditionalFormatting>
  <conditionalFormatting sqref="P3 P11 P14 P17 P19 P26 P28:P29">
    <cfRule type="cellIs" dxfId="192" priority="418" operator="equal">
      <formula>"Annual"</formula>
    </cfRule>
    <cfRule type="cellIs" dxfId="191" priority="417" operator="equal">
      <formula>"Annual"</formula>
    </cfRule>
    <cfRule type="cellIs" dxfId="190" priority="414" operator="equal">
      <formula>"Annual"</formula>
    </cfRule>
    <cfRule type="cellIs" dxfId="189" priority="413" operator="equal">
      <formula>"Annual"</formula>
    </cfRule>
    <cfRule type="cellIs" dxfId="188" priority="410" operator="equal">
      <formula>"Annual"</formula>
    </cfRule>
    <cfRule type="cellIs" dxfId="187" priority="409" operator="equal">
      <formula>"Annual"</formula>
    </cfRule>
    <cfRule type="cellIs" dxfId="186" priority="406" operator="equal">
      <formula>"Annual"</formula>
    </cfRule>
    <cfRule type="cellIs" dxfId="185" priority="405" operator="equal">
      <formula>"Annual"</formula>
    </cfRule>
    <cfRule type="cellIs" dxfId="184" priority="402" operator="equal">
      <formula>"Annual"</formula>
    </cfRule>
  </conditionalFormatting>
  <conditionalFormatting sqref="P3:P4">
    <cfRule type="cellIs" dxfId="183" priority="176" operator="equal">
      <formula>"Annual"</formula>
    </cfRule>
    <cfRule type="cellIs" dxfId="182" priority="175" operator="equal">
      <formula>"Annual"</formula>
    </cfRule>
  </conditionalFormatting>
  <conditionalFormatting sqref="P3:P11">
    <cfRule type="cellIs" dxfId="181" priority="150" operator="equal">
      <formula>"CO"</formula>
    </cfRule>
    <cfRule type="cellIs" dxfId="180" priority="153" operator="equal">
      <formula>"OFF"</formula>
    </cfRule>
  </conditionalFormatting>
  <conditionalFormatting sqref="P4">
    <cfRule type="cellIs" dxfId="179" priority="159" operator="equal">
      <formula>"Annual"</formula>
    </cfRule>
    <cfRule type="cellIs" dxfId="178" priority="172" operator="equal">
      <formula>"Annual"</formula>
    </cfRule>
    <cfRule type="cellIs" dxfId="177" priority="171" operator="equal">
      <formula>"Annual"</formula>
    </cfRule>
    <cfRule type="cellIs" dxfId="176" priority="168" operator="equal">
      <formula>"Annual"</formula>
    </cfRule>
    <cfRule type="cellIs" dxfId="175" priority="167" operator="equal">
      <formula>"Annual"</formula>
    </cfRule>
    <cfRule type="cellIs" dxfId="174" priority="164" operator="equal">
      <formula>"Annual"</formula>
    </cfRule>
    <cfRule type="cellIs" dxfId="173" priority="151" operator="equal">
      <formula>"Annual"</formula>
    </cfRule>
    <cfRule type="cellIs" dxfId="172" priority="163" operator="equal">
      <formula>"Annual"</formula>
    </cfRule>
    <cfRule type="cellIs" dxfId="171" priority="160" operator="equal">
      <formula>"Annual"</formula>
    </cfRule>
    <cfRule type="cellIs" dxfId="170" priority="156" operator="equal">
      <formula>"Annual"</formula>
    </cfRule>
    <cfRule type="cellIs" dxfId="169" priority="155" operator="equal">
      <formula>"Annual"</formula>
    </cfRule>
    <cfRule type="cellIs" dxfId="168" priority="152" operator="equal">
      <formula>"Annual"</formula>
    </cfRule>
  </conditionalFormatting>
  <conditionalFormatting sqref="P11 P14 P17 P19 P26 P28:P29 P3">
    <cfRule type="cellIs" dxfId="167" priority="401" operator="equal">
      <formula>"Annual"</formula>
    </cfRule>
  </conditionalFormatting>
  <conditionalFormatting sqref="P11 P14 P17 P19 P26 P28:P29">
    <cfRule type="cellIs" dxfId="166" priority="398" operator="equal">
      <formula>"Annual"</formula>
    </cfRule>
  </conditionalFormatting>
  <conditionalFormatting sqref="P11 P17 P19 P26 P28:P29 P14">
    <cfRule type="cellIs" dxfId="165" priority="397" operator="equal">
      <formula>"Annual"</formula>
    </cfRule>
  </conditionalFormatting>
  <conditionalFormatting sqref="P11">
    <cfRule type="cellIs" dxfId="164" priority="1338" operator="equal">
      <formula>"Annual"</formula>
    </cfRule>
    <cfRule type="cellIs" dxfId="163" priority="1337" operator="equal">
      <formula>"Annual"</formula>
    </cfRule>
    <cfRule type="cellIs" dxfId="162" priority="394" operator="equal">
      <formula>"Annual"</formula>
    </cfRule>
    <cfRule type="cellIs" dxfId="161" priority="393" operator="equal">
      <formula>"Annual"</formula>
    </cfRule>
    <cfRule type="cellIs" dxfId="160" priority="390" operator="equal">
      <formula>"Annual"</formula>
    </cfRule>
    <cfRule type="cellIs" dxfId="159" priority="389" operator="equal">
      <formula>"Annual"</formula>
    </cfRule>
    <cfRule type="cellIs" dxfId="158" priority="386" operator="equal">
      <formula>"Annual"</formula>
    </cfRule>
    <cfRule type="cellIs" dxfId="157" priority="385" operator="equal">
      <formula>"Annual"</formula>
    </cfRule>
    <cfRule type="cellIs" dxfId="156" priority="382" operator="equal">
      <formula>"Annual"</formula>
    </cfRule>
    <cfRule type="cellIs" dxfId="155" priority="381" operator="equal">
      <formula>"Annual"</formula>
    </cfRule>
    <cfRule type="cellIs" dxfId="154" priority="378" operator="equal">
      <formula>"Annual"</formula>
    </cfRule>
    <cfRule type="cellIs" dxfId="153" priority="377" operator="equal">
      <formula>"Annual"</formula>
    </cfRule>
    <cfRule type="cellIs" dxfId="152" priority="374" operator="equal">
      <formula>"Annual"</formula>
    </cfRule>
    <cfRule type="cellIs" dxfId="151" priority="373" operator="equal">
      <formula>"Annual"</formula>
    </cfRule>
  </conditionalFormatting>
  <conditionalFormatting sqref="P14">
    <cfRule type="cellIs" dxfId="150" priority="857" operator="equal">
      <formula>"Annual"</formula>
    </cfRule>
    <cfRule type="cellIs" dxfId="149" priority="849" operator="equal">
      <formula>"Annual"</formula>
    </cfRule>
    <cfRule type="cellIs" dxfId="148" priority="850" operator="equal">
      <formula>"Annual"</formula>
    </cfRule>
    <cfRule type="cellIs" dxfId="147" priority="853" operator="equal">
      <formula>"Annual"</formula>
    </cfRule>
    <cfRule type="cellIs" dxfId="146" priority="858" operator="equal">
      <formula>"Annual"</formula>
    </cfRule>
    <cfRule type="cellIs" dxfId="145" priority="854" operator="equal">
      <formula>"Annual"</formula>
    </cfRule>
  </conditionalFormatting>
  <conditionalFormatting sqref="P14:P17">
    <cfRule type="cellIs" dxfId="144" priority="344" operator="equal">
      <formula>"CO"</formula>
    </cfRule>
    <cfRule type="cellIs" dxfId="143" priority="347" operator="equal">
      <formula>"OFF"</formula>
    </cfRule>
  </conditionalFormatting>
  <conditionalFormatting sqref="P15:P16">
    <cfRule type="cellIs" dxfId="142" priority="1297" operator="equal">
      <formula>"Annual"</formula>
    </cfRule>
    <cfRule type="cellIs" dxfId="141" priority="1298" operator="equal">
      <formula>"Annual"</formula>
    </cfRule>
    <cfRule type="cellIs" dxfId="140" priority="1301" operator="equal">
      <formula>"Annual"</formula>
    </cfRule>
    <cfRule type="cellIs" dxfId="139" priority="1302" operator="equal">
      <formula>"Annual"</formula>
    </cfRule>
  </conditionalFormatting>
  <conditionalFormatting sqref="P16">
    <cfRule type="cellIs" dxfId="138" priority="1285" operator="equal">
      <formula>"Annual"</formula>
    </cfRule>
    <cfRule type="cellIs" dxfId="137" priority="1286" operator="equal">
      <formula>"Annual"</formula>
    </cfRule>
  </conditionalFormatting>
  <conditionalFormatting sqref="P17">
    <cfRule type="cellIs" dxfId="136" priority="345" operator="equal">
      <formula>"Annual"</formula>
    </cfRule>
    <cfRule type="cellIs" dxfId="135" priority="353" operator="equal">
      <formula>"Annual"</formula>
    </cfRule>
    <cfRule type="cellIs" dxfId="134" priority="354" operator="equal">
      <formula>"Annual"</formula>
    </cfRule>
    <cfRule type="cellIs" dxfId="133" priority="357" operator="equal">
      <formula>"Annual"</formula>
    </cfRule>
    <cfRule type="cellIs" dxfId="132" priority="358" operator="equal">
      <formula>"Annual"</formula>
    </cfRule>
    <cfRule type="cellIs" dxfId="131" priority="350" operator="equal">
      <formula>"Annual"</formula>
    </cfRule>
    <cfRule type="cellIs" dxfId="130" priority="361" operator="equal">
      <formula>"Annual"</formula>
    </cfRule>
    <cfRule type="cellIs" dxfId="129" priority="349" operator="equal">
      <formula>"Annual"</formula>
    </cfRule>
    <cfRule type="cellIs" dxfId="128" priority="346" operator="equal">
      <formula>"Annual"</formula>
    </cfRule>
    <cfRule type="cellIs" dxfId="127" priority="362" operator="equal">
      <formula>"Annual"</formula>
    </cfRule>
    <cfRule type="cellIs" dxfId="126" priority="370" operator="equal">
      <formula>"Annual"</formula>
    </cfRule>
    <cfRule type="cellIs" dxfId="125" priority="369" operator="equal">
      <formula>"Annual"</formula>
    </cfRule>
    <cfRule type="cellIs" dxfId="124" priority="366" operator="equal">
      <formula>"Annual"</formula>
    </cfRule>
    <cfRule type="cellIs" dxfId="123" priority="365" operator="equal">
      <formula>"Annual"</formula>
    </cfRule>
  </conditionalFormatting>
  <conditionalFormatting sqref="P19">
    <cfRule type="cellIs" dxfId="122" priority="342" operator="equal">
      <formula>"Annual"</formula>
    </cfRule>
    <cfRule type="cellIs" dxfId="121" priority="326" operator="equal">
      <formula>"Annual"</formula>
    </cfRule>
    <cfRule type="cellIs" dxfId="120" priority="316" operator="equal">
      <formula>"CO"</formula>
    </cfRule>
    <cfRule type="cellIs" dxfId="119" priority="317" operator="equal">
      <formula>"Annual"</formula>
    </cfRule>
    <cfRule type="cellIs" dxfId="118" priority="318" operator="equal">
      <formula>"Annual"</formula>
    </cfRule>
    <cfRule type="cellIs" dxfId="117" priority="319" operator="equal">
      <formula>"OFF"</formula>
    </cfRule>
    <cfRule type="cellIs" dxfId="116" priority="321" operator="equal">
      <formula>"Annual"</formula>
    </cfRule>
    <cfRule type="cellIs" dxfId="115" priority="322" operator="equal">
      <formula>"Annual"</formula>
    </cfRule>
    <cfRule type="cellIs" dxfId="114" priority="325" operator="equal">
      <formula>"Annual"</formula>
    </cfRule>
    <cfRule type="cellIs" dxfId="113" priority="329" operator="equal">
      <formula>"Annual"</formula>
    </cfRule>
    <cfRule type="cellIs" dxfId="112" priority="330" operator="equal">
      <formula>"Annual"</formula>
    </cfRule>
    <cfRule type="cellIs" dxfId="111" priority="333" operator="equal">
      <formula>"Annual"</formula>
    </cfRule>
    <cfRule type="cellIs" dxfId="110" priority="334" operator="equal">
      <formula>"Annual"</formula>
    </cfRule>
    <cfRule type="cellIs" dxfId="109" priority="337" operator="equal">
      <formula>"Annual"</formula>
    </cfRule>
    <cfRule type="cellIs" dxfId="108" priority="338" operator="equal">
      <formula>"Annual"</formula>
    </cfRule>
    <cfRule type="cellIs" dxfId="107" priority="341" operator="equal">
      <formula>"Annual"</formula>
    </cfRule>
  </conditionalFormatting>
  <conditionalFormatting sqref="P26">
    <cfRule type="cellIs" dxfId="106" priority="309" operator="equal">
      <formula>"Annual"</formula>
    </cfRule>
    <cfRule type="cellIs" dxfId="105" priority="314" operator="equal">
      <formula>"Annual"</formula>
    </cfRule>
    <cfRule type="cellIs" dxfId="104" priority="313" operator="equal">
      <formula>"Annual"</formula>
    </cfRule>
    <cfRule type="cellIs" dxfId="103" priority="310" operator="equal">
      <formula>"Annual"</formula>
    </cfRule>
    <cfRule type="cellIs" dxfId="102" priority="306" operator="equal">
      <formula>"Annual"</formula>
    </cfRule>
    <cfRule type="cellIs" dxfId="101" priority="305" operator="equal">
      <formula>"Annual"</formula>
    </cfRule>
    <cfRule type="cellIs" dxfId="100" priority="302" operator="equal">
      <formula>"Annual"</formula>
    </cfRule>
    <cfRule type="cellIs" dxfId="99" priority="301" operator="equal">
      <formula>"Annual"</formula>
    </cfRule>
    <cfRule type="cellIs" dxfId="98" priority="298" operator="equal">
      <formula>"Annual"</formula>
    </cfRule>
    <cfRule type="cellIs" dxfId="97" priority="297" operator="equal">
      <formula>"Annual"</formula>
    </cfRule>
    <cfRule type="cellIs" dxfId="96" priority="294" operator="equal">
      <formula>"Annual"</formula>
    </cfRule>
    <cfRule type="cellIs" dxfId="95" priority="293" operator="equal">
      <formula>"Annual"</formula>
    </cfRule>
    <cfRule type="cellIs" dxfId="94" priority="290" operator="equal">
      <formula>"Annual"</formula>
    </cfRule>
    <cfRule type="cellIs" dxfId="93" priority="289" operator="equal">
      <formula>"Annual"</formula>
    </cfRule>
    <cfRule type="cellIs" dxfId="92" priority="970" operator="equal">
      <formula>"Annual"</formula>
    </cfRule>
    <cfRule type="cellIs" dxfId="91" priority="969" operator="equal">
      <formula>"Annual"</formula>
    </cfRule>
    <cfRule type="cellIs" dxfId="90" priority="966" operator="equal">
      <formula>"Annual"</formula>
    </cfRule>
    <cfRule type="cellIs" dxfId="89" priority="965" operator="equal">
      <formula>"Annual"</formula>
    </cfRule>
    <cfRule type="cellIs" dxfId="88" priority="962" operator="equal">
      <formula>"Annual"</formula>
    </cfRule>
    <cfRule type="cellIs" dxfId="87" priority="961" operator="equal">
      <formula>"Annual"</formula>
    </cfRule>
  </conditionalFormatting>
  <conditionalFormatting sqref="P26:P27">
    <cfRule type="cellIs" dxfId="86" priority="973" operator="equal">
      <formula>"Annual"</formula>
    </cfRule>
    <cfRule type="cellIs" dxfId="85" priority="974" operator="equal">
      <formula>"Annual"</formula>
    </cfRule>
  </conditionalFormatting>
  <conditionalFormatting sqref="P26:P29">
    <cfRule type="cellIs" dxfId="84" priority="235" operator="equal">
      <formula>"OFF"</formula>
    </cfRule>
    <cfRule type="cellIs" dxfId="83" priority="232" operator="equal">
      <formula>"CO"</formula>
    </cfRule>
  </conditionalFormatting>
  <conditionalFormatting sqref="P27">
    <cfRule type="cellIs" dxfId="82" priority="1002" operator="equal">
      <formula>"Annual"</formula>
    </cfRule>
    <cfRule type="cellIs" dxfId="81" priority="1001" operator="equal">
      <formula>"Annual"</formula>
    </cfRule>
    <cfRule type="cellIs" dxfId="80" priority="998" operator="equal">
      <formula>"Annual"</formula>
    </cfRule>
    <cfRule type="cellIs" dxfId="79" priority="997" operator="equal">
      <formula>"Annual"</formula>
    </cfRule>
    <cfRule type="cellIs" dxfId="78" priority="1006" operator="equal">
      <formula>"Annual"</formula>
    </cfRule>
    <cfRule type="cellIs" dxfId="77" priority="1005" operator="equal">
      <formula>"Annual"</formula>
    </cfRule>
  </conditionalFormatting>
  <conditionalFormatting sqref="P28">
    <cfRule type="cellIs" dxfId="76" priority="265" operator="equal">
      <formula>"Annual"</formula>
    </cfRule>
    <cfRule type="cellIs" dxfId="75" priority="266" operator="equal">
      <formula>"Annual"</formula>
    </cfRule>
    <cfRule type="cellIs" dxfId="74" priority="269" operator="equal">
      <formula>"Annual"</formula>
    </cfRule>
    <cfRule type="cellIs" dxfId="73" priority="270" operator="equal">
      <formula>"Annual"</formula>
    </cfRule>
    <cfRule type="cellIs" dxfId="72" priority="273" operator="equal">
      <formula>"Annual"</formula>
    </cfRule>
    <cfRule type="cellIs" dxfId="71" priority="274" operator="equal">
      <formula>"Annual"</formula>
    </cfRule>
    <cfRule type="cellIs" dxfId="70" priority="277" operator="equal">
      <formula>"Annual"</formula>
    </cfRule>
    <cfRule type="cellIs" dxfId="69" priority="278" operator="equal">
      <formula>"Annual"</formula>
    </cfRule>
    <cfRule type="cellIs" dxfId="68" priority="282" operator="equal">
      <formula>"Annual"</formula>
    </cfRule>
    <cfRule type="cellIs" dxfId="67" priority="285" operator="equal">
      <formula>"Annual"</formula>
    </cfRule>
    <cfRule type="cellIs" dxfId="66" priority="286" operator="equal">
      <formula>"Annual"</formula>
    </cfRule>
    <cfRule type="cellIs" dxfId="65" priority="281" operator="equal">
      <formula>"Annual"</formula>
    </cfRule>
  </conditionalFormatting>
  <conditionalFormatting sqref="P28:P29">
    <cfRule type="cellIs" dxfId="64" priority="257" operator="equal">
      <formula>"Annual"</formula>
    </cfRule>
    <cfRule type="cellIs" dxfId="63" priority="258" operator="equal">
      <formula>"Annual"</formula>
    </cfRule>
  </conditionalFormatting>
  <conditionalFormatting sqref="P29">
    <cfRule type="cellIs" dxfId="62" priority="238" operator="equal">
      <formula>"Annual"</formula>
    </cfRule>
    <cfRule type="cellIs" dxfId="61" priority="237" operator="equal">
      <formula>"Annual"</formula>
    </cfRule>
    <cfRule type="cellIs" dxfId="60" priority="234" operator="equal">
      <formula>"Annual"</formula>
    </cfRule>
    <cfRule type="cellIs" dxfId="59" priority="233" operator="equal">
      <formula>"Annual"</formula>
    </cfRule>
    <cfRule type="cellIs" dxfId="58" priority="249" operator="equal">
      <formula>"Annual"</formula>
    </cfRule>
    <cfRule type="cellIs" dxfId="57" priority="250" operator="equal">
      <formula>"Annual"</formula>
    </cfRule>
    <cfRule type="cellIs" dxfId="56" priority="246" operator="equal">
      <formula>"Annual"</formula>
    </cfRule>
    <cfRule type="cellIs" dxfId="55" priority="242" operator="equal">
      <formula>"Annual"</formula>
    </cfRule>
    <cfRule type="cellIs" dxfId="54" priority="241" operator="equal">
      <formula>"Annual"</formula>
    </cfRule>
    <cfRule type="cellIs" dxfId="53" priority="245" operator="equal">
      <formula>"Annual"</formula>
    </cfRule>
    <cfRule type="cellIs" dxfId="52" priority="253" operator="equal">
      <formula>"Annual"</formula>
    </cfRule>
    <cfRule type="cellIs" dxfId="51" priority="254" operator="equal">
      <formula>"Annual"</formula>
    </cfRule>
  </conditionalFormatting>
  <conditionalFormatting sqref="T33:T36">
    <cfRule type="duplicateValues" dxfId="50" priority="1376"/>
    <cfRule type="duplicateValues" dxfId="49" priority="1378"/>
    <cfRule type="duplicateValues" dxfId="48" priority="1379"/>
    <cfRule type="duplicateValues" dxfId="47" priority="1370"/>
    <cfRule type="duplicateValues" dxfId="46" priority="1381"/>
    <cfRule type="duplicateValues" dxfId="45" priority="1382"/>
    <cfRule type="duplicateValues" dxfId="44" priority="1383"/>
    <cfRule type="duplicateValues" dxfId="43" priority="1369"/>
    <cfRule type="duplicateValues" dxfId="42" priority="1380"/>
    <cfRule type="duplicateValues" dxfId="41" priority="1377"/>
    <cfRule type="duplicateValues" dxfId="40" priority="1368"/>
    <cfRule type="duplicateValues" dxfId="39" priority="1371"/>
    <cfRule type="duplicateValues" dxfId="38" priority="1372"/>
    <cfRule type="duplicateValues" dxfId="37" priority="1373"/>
    <cfRule type="duplicateValues" dxfId="36" priority="1374"/>
    <cfRule type="duplicateValues" dxfId="35" priority="1375"/>
  </conditionalFormatting>
  <conditionalFormatting sqref="U33:U36">
    <cfRule type="duplicateValues" dxfId="34" priority="2598"/>
    <cfRule type="duplicateValues" dxfId="33" priority="2601"/>
    <cfRule type="duplicateValues" dxfId="32" priority="2602"/>
    <cfRule type="duplicateValues" dxfId="31" priority="2597"/>
    <cfRule type="duplicateValues" dxfId="30" priority="2596"/>
    <cfRule type="duplicateValues" dxfId="29" priority="2594"/>
    <cfRule type="duplicateValues" dxfId="28" priority="2593"/>
    <cfRule type="duplicateValues" dxfId="27" priority="2606"/>
    <cfRule type="duplicateValues" dxfId="26" priority="2592"/>
    <cfRule type="duplicateValues" dxfId="25" priority="2591"/>
    <cfRule type="duplicateValues" dxfId="24" priority="2600"/>
    <cfRule type="duplicateValues" dxfId="23" priority="2603"/>
    <cfRule type="duplicateValues" dxfId="22" priority="2604"/>
    <cfRule type="duplicateValues" dxfId="21" priority="2605"/>
    <cfRule type="duplicateValues" dxfId="20" priority="2599"/>
    <cfRule type="duplicateValues" dxfId="19" priority="2595"/>
  </conditionalFormatting>
  <pageMargins left="0.7" right="0.7" top="0.75" bottom="0.75" header="0.3" footer="0.3"/>
  <pageSetup scale="27" orientation="portrait" r:id="rId1"/>
  <ignoredErrors>
    <ignoredError sqref="L61:Q6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633B8-2616-466F-BE1C-7ABDE989607B}">
  <sheetPr codeName="Sheet2"/>
  <dimension ref="A11:Q18"/>
  <sheetViews>
    <sheetView topLeftCell="A5" workbookViewId="0">
      <selection activeCell="F15" sqref="F15"/>
    </sheetView>
  </sheetViews>
  <sheetFormatPr defaultRowHeight="14.4" x14ac:dyDescent="0.3"/>
  <cols>
    <col min="1" max="1" width="38.6640625" customWidth="1"/>
    <col min="2" max="2" width="37.6640625" customWidth="1"/>
    <col min="3" max="4" width="8.88671875" hidden="1" customWidth="1"/>
    <col min="5" max="5" width="9.44140625" hidden="1" customWidth="1"/>
    <col min="6" max="6" width="30.109375" customWidth="1"/>
    <col min="8" max="8" width="9" customWidth="1"/>
    <col min="9" max="9" width="20.33203125" customWidth="1"/>
  </cols>
  <sheetData>
    <row r="11" spans="1:17" hidden="1" x14ac:dyDescent="0.3"/>
    <row r="12" spans="1:17" hidden="1" x14ac:dyDescent="0.3">
      <c r="A12" t="s">
        <v>40</v>
      </c>
      <c r="B12" t="s">
        <v>41</v>
      </c>
      <c r="C12" t="s">
        <v>46</v>
      </c>
      <c r="D12" t="s">
        <v>42</v>
      </c>
      <c r="E12" t="s">
        <v>43</v>
      </c>
      <c r="F12" t="s">
        <v>44</v>
      </c>
      <c r="G12" t="s">
        <v>45</v>
      </c>
      <c r="H12" t="s">
        <v>47</v>
      </c>
      <c r="I12" t="s">
        <v>48</v>
      </c>
      <c r="J12" t="s">
        <v>49</v>
      </c>
      <c r="K12" t="s">
        <v>50</v>
      </c>
      <c r="L12" t="s">
        <v>51</v>
      </c>
      <c r="M12" t="s">
        <v>52</v>
      </c>
      <c r="N12" t="s">
        <v>53</v>
      </c>
      <c r="O12" t="s">
        <v>54</v>
      </c>
      <c r="P12" t="s">
        <v>55</v>
      </c>
      <c r="Q12" t="s">
        <v>56</v>
      </c>
    </row>
    <row r="13" spans="1:17" x14ac:dyDescent="0.3">
      <c r="A13" s="3" t="s">
        <v>39</v>
      </c>
      <c r="B13" s="3" t="s">
        <v>9</v>
      </c>
      <c r="C13" s="3" t="s">
        <v>36</v>
      </c>
      <c r="D13" s="3" t="s">
        <v>37</v>
      </c>
      <c r="E13" s="3" t="s">
        <v>36</v>
      </c>
      <c r="F13" s="3" t="s">
        <v>38</v>
      </c>
      <c r="G13" s="39" t="b">
        <f>IF(B15=B14,FALSE,TRUE)</f>
        <v>1</v>
      </c>
      <c r="H13" s="40"/>
    </row>
    <row r="14" spans="1:17" x14ac:dyDescent="0.3">
      <c r="A14" s="4" t="s">
        <v>75</v>
      </c>
      <c r="B14" s="29" cm="1">
        <f t="array" ref="B14">VLOOKUP(A14,Schedule!$B$2:$Q$42,_xlfn.IFS(B13=Schedule!$K$2,10,B13=Schedule!$L$2,11,B13=Schedule!$M$2,12,B13=Schedule!$N$2,13,B13=Schedule!$O$2,14,B13=Schedule!$P$2,15,B13=Schedule!$Q$2,16),0)</f>
        <v>0.64583333333333337</v>
      </c>
      <c r="C14" s="30" t="str" cm="1">
        <f t="array" ref="C14">INDEX(A12:Q12,(MATCH(swap!B13,Schedule!B2:Q2,0)+1))&amp;D14+2</f>
        <v>k16</v>
      </c>
      <c r="D14" s="30">
        <f>MATCH(swap!A14,Schedule!B2:B42,0)-1</f>
        <v>14</v>
      </c>
      <c r="E14" s="30">
        <f>MATCH(swap!B13,Schedule!C2:R2,0)</f>
        <v>9</v>
      </c>
      <c r="F14" s="29">
        <v>0.35416666666666669</v>
      </c>
    </row>
    <row r="15" spans="1:17" x14ac:dyDescent="0.3">
      <c r="A15" s="4" t="s">
        <v>79</v>
      </c>
      <c r="B15" s="31" cm="1">
        <f t="array" ref="B15">VLOOKUP(A15,Schedule!$B$2:$Q$42,_xlfn.IFS(B13=Schedule!$K$2,10,B13=Schedule!$L$2,11,B13=Schedule!$M$2,12,B13=Schedule!$N$2,13,B13=Schedule!$O$2,14,B13=Schedule!$P$2,15,B13=Schedule!$Q$2,16),0)</f>
        <v>0.35416666666666669</v>
      </c>
      <c r="C15" s="32" t="str" cm="1">
        <f t="array" ref="C15">INDEX(A12:Q12,(MATCH(swap!B13,Schedule!B2:Q2,0)+1))&amp;D15+2</f>
        <v>k20</v>
      </c>
      <c r="D15" s="32">
        <f>MATCH(swap!A15,Schedule!B2:B43,0)-1</f>
        <v>18</v>
      </c>
      <c r="E15" s="32">
        <f>MATCH(swap!B13,Schedule!C2:R2,0)</f>
        <v>9</v>
      </c>
      <c r="F15" s="31">
        <v>0.64583333333333337</v>
      </c>
    </row>
    <row r="16" spans="1:17" x14ac:dyDescent="0.3">
      <c r="A16" s="41" t="s">
        <v>59</v>
      </c>
      <c r="B16" s="41" t="s">
        <v>60</v>
      </c>
      <c r="C16" s="33"/>
      <c r="D16" s="33"/>
      <c r="E16" s="33"/>
      <c r="F16" s="41" t="s">
        <v>61</v>
      </c>
      <c r="G16" s="41" t="s">
        <v>57</v>
      </c>
      <c r="H16" s="44"/>
      <c r="I16" s="36" t="s">
        <v>58</v>
      </c>
    </row>
    <row r="17" spans="1:9" x14ac:dyDescent="0.3">
      <c r="A17" s="42"/>
      <c r="B17" s="42"/>
      <c r="C17" s="33"/>
      <c r="D17" s="33"/>
      <c r="E17" s="33"/>
      <c r="F17" s="42"/>
      <c r="G17" s="42"/>
      <c r="H17" s="45"/>
      <c r="I17" s="37"/>
    </row>
    <row r="18" spans="1:9" ht="54.6" customHeight="1" x14ac:dyDescent="0.3">
      <c r="A18" s="43"/>
      <c r="B18" s="43"/>
      <c r="C18" s="33"/>
      <c r="D18" s="33"/>
      <c r="E18" s="33"/>
      <c r="F18" s="43"/>
      <c r="G18" s="43"/>
      <c r="H18" s="46"/>
      <c r="I18" s="38"/>
    </row>
  </sheetData>
  <mergeCells count="6">
    <mergeCell ref="I16:I18"/>
    <mergeCell ref="G13:H13"/>
    <mergeCell ref="A16:A18"/>
    <mergeCell ref="B16:B18"/>
    <mergeCell ref="F16:F18"/>
    <mergeCell ref="G16:H18"/>
  </mergeCells>
  <conditionalFormatting sqref="B14:B15">
    <cfRule type="cellIs" dxfId="18" priority="166" operator="equal">
      <formula>"Annual"</formula>
    </cfRule>
    <cfRule type="cellIs" dxfId="17" priority="165" operator="equal">
      <formula>"Annual"</formula>
    </cfRule>
    <cfRule type="cellIs" dxfId="16" priority="161" operator="equal">
      <formula>"CO"</formula>
    </cfRule>
    <cfRule type="cellIs" dxfId="15" priority="160" operator="equal">
      <formula>"AL"</formula>
    </cfRule>
    <cfRule type="cellIs" dxfId="14" priority="162" operator="equal">
      <formula>"OFF"</formula>
    </cfRule>
    <cfRule type="cellIs" dxfId="13" priority="167" operator="equal">
      <formula>"Annual"</formula>
    </cfRule>
    <cfRule type="cellIs" dxfId="12" priority="168" operator="equal">
      <formula>"Annual"</formula>
    </cfRule>
    <cfRule type="cellIs" dxfId="11" priority="169" operator="equal">
      <formula>"Annual"</formula>
    </cfRule>
    <cfRule type="cellIs" dxfId="10" priority="170" operator="equal">
      <formula>"Annual"</formula>
    </cfRule>
  </conditionalFormatting>
  <conditionalFormatting sqref="F14:F15">
    <cfRule type="cellIs" dxfId="9" priority="29" operator="equal">
      <formula>"Annual"</formula>
    </cfRule>
    <cfRule type="cellIs" dxfId="8" priority="27" operator="equal">
      <formula>"OFF"</formula>
    </cfRule>
    <cfRule type="cellIs" dxfId="7" priority="28" operator="equal">
      <formula>"Annual"</formula>
    </cfRule>
    <cfRule type="cellIs" dxfId="6" priority="26" operator="equal">
      <formula>"CO"</formula>
    </cfRule>
    <cfRule type="cellIs" dxfId="5" priority="25" operator="equal">
      <formula>"AL"</formula>
    </cfRule>
    <cfRule type="cellIs" dxfId="4" priority="33" operator="equal">
      <formula>"Annual"</formula>
    </cfRule>
    <cfRule type="cellIs" dxfId="3" priority="32" operator="equal">
      <formula>"Annual"</formula>
    </cfRule>
    <cfRule type="cellIs" dxfId="2" priority="31" operator="equal">
      <formula>"Annual"</formula>
    </cfRule>
    <cfRule type="cellIs" dxfId="1" priority="30" operator="equal">
      <formula>"Annual"</formula>
    </cfRule>
  </conditionalFormatting>
  <conditionalFormatting sqref="G13:H13">
    <cfRule type="containsText" dxfId="0" priority="34" operator="containsText" text="FALSE">
      <formula>NOT(ISERROR(SEARCH("FALSE",G13)))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swap_1">
                <anchor moveWithCells="1" sizeWithCells="1">
                  <from>
                    <xdr:col>6</xdr:col>
                    <xdr:colOff>22860</xdr:colOff>
                    <xdr:row>12</xdr:row>
                    <xdr:rowOff>175260</xdr:rowOff>
                  </from>
                  <to>
                    <xdr:col>7</xdr:col>
                    <xdr:colOff>594360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swap_2">
                <anchor moveWithCells="1" sizeWithCells="1">
                  <from>
                    <xdr:col>6</xdr:col>
                    <xdr:colOff>22860</xdr:colOff>
                    <xdr:row>14</xdr:row>
                    <xdr:rowOff>7620</xdr:rowOff>
                  </from>
                  <to>
                    <xdr:col>7</xdr:col>
                    <xdr:colOff>594360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2F453E-0124-4FF2-AFD2-73A483542040}">
          <x14:formula1>
            <xm:f>Schedule!$K$2:$Q$2</xm:f>
          </x14:formula1>
          <xm:sqref>B7 B13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31EF-6CB5-4281-AE4C-E1BD65DB3F57}">
  <dimension ref="A4"/>
  <sheetViews>
    <sheetView tabSelected="1" workbookViewId="0">
      <selection activeCell="A5" sqref="A5"/>
    </sheetView>
  </sheetViews>
  <sheetFormatPr defaultRowHeight="14.4" x14ac:dyDescent="0.3"/>
  <cols>
    <col min="1" max="1" width="255.77734375" bestFit="1" customWidth="1"/>
  </cols>
  <sheetData>
    <row r="4" spans="1:1" x14ac:dyDescent="0.3">
      <c r="A4" t="s"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S98"/>
  <sheetViews>
    <sheetView topLeftCell="A58" workbookViewId="0">
      <selection activeCell="N78" sqref="N78"/>
    </sheetView>
  </sheetViews>
  <sheetFormatPr defaultRowHeight="14.4" x14ac:dyDescent="0.3"/>
  <cols>
    <col min="1" max="1" width="16.6640625" bestFit="1" customWidth="1"/>
    <col min="2" max="2" width="8.88671875" bestFit="1" customWidth="1"/>
    <col min="3" max="3" width="9.6640625" bestFit="1" customWidth="1"/>
    <col min="4" max="4" width="8.88671875" bestFit="1" customWidth="1"/>
    <col min="5" max="5" width="9.88671875" bestFit="1" customWidth="1"/>
    <col min="6" max="6" width="8.88671875" bestFit="1" customWidth="1"/>
    <col min="7" max="7" width="7.88671875" bestFit="1" customWidth="1"/>
    <col min="8" max="8" width="8.33203125" bestFit="1" customWidth="1"/>
  </cols>
  <sheetData>
    <row r="1" spans="1:19" x14ac:dyDescent="0.3">
      <c r="A1" s="10" t="s">
        <v>14</v>
      </c>
      <c r="B1" s="11" t="s">
        <v>3</v>
      </c>
      <c r="C1" s="11" t="s">
        <v>4</v>
      </c>
      <c r="D1" s="11" t="s">
        <v>5</v>
      </c>
      <c r="E1" s="11" t="s">
        <v>6</v>
      </c>
      <c r="F1" s="11" t="s">
        <v>7</v>
      </c>
      <c r="G1" s="11" t="s">
        <v>8</v>
      </c>
      <c r="H1" s="11" t="s">
        <v>9</v>
      </c>
      <c r="L1" s="21" t="s">
        <v>31</v>
      </c>
      <c r="M1" s="22" t="s">
        <v>3</v>
      </c>
      <c r="N1" s="22" t="s">
        <v>4</v>
      </c>
      <c r="O1" s="22" t="s">
        <v>5</v>
      </c>
      <c r="P1" s="22" t="s">
        <v>6</v>
      </c>
      <c r="Q1" s="22" t="s">
        <v>7</v>
      </c>
      <c r="R1" s="22" t="s">
        <v>8</v>
      </c>
      <c r="S1" s="23" t="s">
        <v>9</v>
      </c>
    </row>
    <row r="2" spans="1:19" x14ac:dyDescent="0.3">
      <c r="A2" s="12">
        <v>0.25</v>
      </c>
      <c r="B2" s="13"/>
      <c r="C2" s="13"/>
      <c r="D2" s="13"/>
      <c r="E2" s="13"/>
      <c r="F2" s="13"/>
      <c r="G2" s="13"/>
      <c r="H2" s="13"/>
      <c r="L2" s="21"/>
      <c r="M2" s="22"/>
      <c r="N2" s="22"/>
      <c r="O2" s="22"/>
      <c r="P2" s="22"/>
      <c r="Q2" s="22"/>
      <c r="R2" s="22"/>
      <c r="S2" s="23"/>
    </row>
    <row r="3" spans="1:19" x14ac:dyDescent="0.3">
      <c r="A3" s="12">
        <v>0.26041666666666669</v>
      </c>
      <c r="B3" s="13"/>
      <c r="C3" s="13"/>
      <c r="D3" s="13"/>
      <c r="E3" s="13"/>
      <c r="F3" s="13"/>
      <c r="G3" s="13"/>
      <c r="H3" s="13"/>
      <c r="L3" s="21"/>
      <c r="M3" s="22"/>
      <c r="N3" s="22"/>
      <c r="O3" s="22"/>
      <c r="P3" s="22"/>
      <c r="Q3" s="22"/>
      <c r="R3" s="22"/>
      <c r="S3" s="23"/>
    </row>
    <row r="4" spans="1:19" x14ac:dyDescent="0.3">
      <c r="A4" s="12">
        <v>0.27083333333333298</v>
      </c>
      <c r="B4" s="13"/>
      <c r="C4" s="13"/>
      <c r="D4" s="13"/>
      <c r="E4" s="13"/>
      <c r="F4" s="13"/>
      <c r="G4" s="13"/>
      <c r="H4" s="13"/>
      <c r="L4" s="24">
        <v>0.25</v>
      </c>
      <c r="M4" s="25">
        <v>1</v>
      </c>
      <c r="N4" s="25">
        <v>1</v>
      </c>
      <c r="O4" s="25">
        <v>1</v>
      </c>
      <c r="P4" s="25">
        <v>1</v>
      </c>
      <c r="Q4" s="25">
        <v>1</v>
      </c>
      <c r="R4" s="25">
        <v>1</v>
      </c>
      <c r="S4" s="25">
        <v>1</v>
      </c>
    </row>
    <row r="5" spans="1:19" x14ac:dyDescent="0.3">
      <c r="A5" s="12">
        <v>0.28125</v>
      </c>
      <c r="B5" s="13"/>
      <c r="C5" s="13"/>
      <c r="D5" s="13"/>
      <c r="E5" s="13"/>
      <c r="F5" s="13"/>
      <c r="G5" s="13"/>
      <c r="H5" s="13"/>
      <c r="L5" s="24">
        <v>0.27083333333333331</v>
      </c>
      <c r="M5" s="25">
        <v>1</v>
      </c>
      <c r="N5" s="25">
        <v>1</v>
      </c>
      <c r="O5" s="25">
        <v>1</v>
      </c>
      <c r="P5" s="25">
        <v>1</v>
      </c>
      <c r="Q5" s="25">
        <v>1</v>
      </c>
      <c r="R5" s="25">
        <v>1</v>
      </c>
      <c r="S5" s="25">
        <v>1</v>
      </c>
    </row>
    <row r="6" spans="1:19" x14ac:dyDescent="0.3">
      <c r="A6" s="12">
        <v>0.29166666666666702</v>
      </c>
      <c r="B6" s="13"/>
      <c r="C6" s="13"/>
      <c r="D6" s="13"/>
      <c r="E6" s="13"/>
      <c r="F6" s="13"/>
      <c r="G6" s="13"/>
      <c r="H6" s="13"/>
      <c r="L6" s="24">
        <v>0.29166666666666702</v>
      </c>
      <c r="M6" s="25">
        <v>1</v>
      </c>
      <c r="N6" s="25">
        <v>1</v>
      </c>
      <c r="O6" s="25">
        <v>1</v>
      </c>
      <c r="P6" s="25">
        <v>1</v>
      </c>
      <c r="Q6" s="25">
        <v>1</v>
      </c>
      <c r="R6" s="25">
        <v>1</v>
      </c>
      <c r="S6" s="25">
        <v>1</v>
      </c>
    </row>
    <row r="7" spans="1:19" x14ac:dyDescent="0.3">
      <c r="A7" s="12">
        <v>0.30208333333333298</v>
      </c>
      <c r="B7" s="13"/>
      <c r="C7" s="13"/>
      <c r="D7" s="13"/>
      <c r="E7" s="13"/>
      <c r="F7" s="13"/>
      <c r="G7" s="13"/>
      <c r="H7" s="13"/>
      <c r="L7" s="24">
        <v>0.3125</v>
      </c>
      <c r="M7" s="25">
        <v>1</v>
      </c>
      <c r="N7" s="25">
        <v>1</v>
      </c>
      <c r="O7" s="25">
        <v>1</v>
      </c>
      <c r="P7" s="25">
        <v>1</v>
      </c>
      <c r="Q7" s="25">
        <v>1</v>
      </c>
      <c r="R7" s="25">
        <v>1</v>
      </c>
      <c r="S7" s="25">
        <v>1</v>
      </c>
    </row>
    <row r="8" spans="1:19" x14ac:dyDescent="0.3">
      <c r="A8" s="12">
        <v>0.3125</v>
      </c>
      <c r="B8" s="13"/>
      <c r="C8" s="13"/>
      <c r="D8" s="13"/>
      <c r="E8" s="13"/>
      <c r="F8" s="13"/>
      <c r="G8" s="13"/>
      <c r="H8" s="13"/>
      <c r="L8" s="24">
        <v>0.33333333333333298</v>
      </c>
      <c r="M8" s="25">
        <v>5</v>
      </c>
      <c r="N8" s="25">
        <v>5</v>
      </c>
      <c r="O8" s="25">
        <v>5</v>
      </c>
      <c r="P8" s="25">
        <v>6</v>
      </c>
      <c r="Q8" s="25">
        <v>5</v>
      </c>
      <c r="R8" s="25">
        <v>1</v>
      </c>
      <c r="S8" s="25">
        <v>4</v>
      </c>
    </row>
    <row r="9" spans="1:19" x14ac:dyDescent="0.3">
      <c r="A9" s="12">
        <v>0.32291666666666702</v>
      </c>
      <c r="B9" s="13"/>
      <c r="C9" s="13"/>
      <c r="D9" s="13"/>
      <c r="E9" s="13"/>
      <c r="F9" s="13"/>
      <c r="G9" s="13"/>
      <c r="H9" s="13"/>
      <c r="L9" s="24">
        <v>0.35416666666666702</v>
      </c>
      <c r="M9" s="25">
        <v>7</v>
      </c>
      <c r="N9" s="25">
        <v>7</v>
      </c>
      <c r="O9" s="25">
        <v>7</v>
      </c>
      <c r="P9" s="25">
        <v>8</v>
      </c>
      <c r="Q9" s="25">
        <v>8</v>
      </c>
      <c r="R9" s="25">
        <v>1</v>
      </c>
      <c r="S9" s="25">
        <v>6</v>
      </c>
    </row>
    <row r="10" spans="1:19" x14ac:dyDescent="0.3">
      <c r="A10" s="12">
        <v>0.33333333333333298</v>
      </c>
      <c r="B10" s="13">
        <f>M8</f>
        <v>5</v>
      </c>
      <c r="C10" s="13">
        <f t="shared" ref="C10:H10" si="0">N8</f>
        <v>5</v>
      </c>
      <c r="D10" s="13">
        <f t="shared" si="0"/>
        <v>5</v>
      </c>
      <c r="E10" s="13">
        <f t="shared" si="0"/>
        <v>6</v>
      </c>
      <c r="F10" s="13">
        <f t="shared" si="0"/>
        <v>5</v>
      </c>
      <c r="G10" s="13"/>
      <c r="H10" s="13">
        <f t="shared" si="0"/>
        <v>4</v>
      </c>
      <c r="L10" s="24">
        <v>0.375</v>
      </c>
      <c r="M10" s="25">
        <v>12</v>
      </c>
      <c r="N10" s="25">
        <v>13</v>
      </c>
      <c r="O10" s="25">
        <v>12</v>
      </c>
      <c r="P10" s="25">
        <v>13</v>
      </c>
      <c r="Q10" s="25">
        <v>10</v>
      </c>
      <c r="R10" s="25">
        <v>1</v>
      </c>
      <c r="S10" s="25">
        <v>12</v>
      </c>
    </row>
    <row r="11" spans="1:19" x14ac:dyDescent="0.3">
      <c r="A11" s="12">
        <v>0.34375</v>
      </c>
      <c r="B11" s="13">
        <f>B10</f>
        <v>5</v>
      </c>
      <c r="C11" s="13">
        <f t="shared" ref="C11:H11" si="1">C10</f>
        <v>5</v>
      </c>
      <c r="D11" s="13">
        <f t="shared" si="1"/>
        <v>5</v>
      </c>
      <c r="E11" s="13">
        <f t="shared" si="1"/>
        <v>6</v>
      </c>
      <c r="F11" s="13">
        <f t="shared" si="1"/>
        <v>5</v>
      </c>
      <c r="G11" s="13"/>
      <c r="H11" s="13">
        <f t="shared" si="1"/>
        <v>4</v>
      </c>
      <c r="L11" s="24">
        <v>0.39583333333333298</v>
      </c>
      <c r="M11" s="25">
        <v>13</v>
      </c>
      <c r="N11" s="25">
        <v>15</v>
      </c>
      <c r="O11" s="25">
        <v>14</v>
      </c>
      <c r="P11" s="25">
        <v>14</v>
      </c>
      <c r="Q11" s="25">
        <v>14</v>
      </c>
      <c r="R11" s="25">
        <v>1</v>
      </c>
      <c r="S11" s="25">
        <v>14</v>
      </c>
    </row>
    <row r="12" spans="1:19" x14ac:dyDescent="0.3">
      <c r="A12" s="12">
        <v>0.35416666666666702</v>
      </c>
      <c r="B12" s="13">
        <f>M9</f>
        <v>7</v>
      </c>
      <c r="C12" s="13">
        <f t="shared" ref="C12:H12" si="2">N9</f>
        <v>7</v>
      </c>
      <c r="D12" s="13">
        <f t="shared" si="2"/>
        <v>7</v>
      </c>
      <c r="E12" s="13">
        <f t="shared" si="2"/>
        <v>8</v>
      </c>
      <c r="F12" s="13">
        <f t="shared" si="2"/>
        <v>8</v>
      </c>
      <c r="G12" s="13"/>
      <c r="H12" s="13">
        <f t="shared" si="2"/>
        <v>6</v>
      </c>
      <c r="L12" s="24">
        <v>0.41666666666666702</v>
      </c>
      <c r="M12" s="25">
        <v>16</v>
      </c>
      <c r="N12" s="25">
        <v>16</v>
      </c>
      <c r="O12" s="25">
        <v>16</v>
      </c>
      <c r="P12" s="25">
        <v>16</v>
      </c>
      <c r="Q12" s="25">
        <v>15</v>
      </c>
      <c r="R12" s="25">
        <v>8</v>
      </c>
      <c r="S12" s="25">
        <v>15</v>
      </c>
    </row>
    <row r="13" spans="1:19" x14ac:dyDescent="0.3">
      <c r="A13" s="12">
        <v>0.36458333333333398</v>
      </c>
      <c r="B13" s="13">
        <f>B12</f>
        <v>7</v>
      </c>
      <c r="C13" s="13">
        <f t="shared" ref="C13:H13" si="3">C12</f>
        <v>7</v>
      </c>
      <c r="D13" s="13">
        <f t="shared" si="3"/>
        <v>7</v>
      </c>
      <c r="E13" s="13">
        <f t="shared" si="3"/>
        <v>8</v>
      </c>
      <c r="F13" s="13">
        <f t="shared" si="3"/>
        <v>8</v>
      </c>
      <c r="G13" s="13"/>
      <c r="H13" s="13">
        <f t="shared" si="3"/>
        <v>6</v>
      </c>
      <c r="L13" s="24">
        <v>0.4375</v>
      </c>
      <c r="M13" s="25">
        <v>18</v>
      </c>
      <c r="N13" s="25">
        <v>19</v>
      </c>
      <c r="O13" s="25">
        <v>19</v>
      </c>
      <c r="P13" s="25">
        <v>18</v>
      </c>
      <c r="Q13" s="25">
        <v>17</v>
      </c>
      <c r="R13" s="25">
        <v>8</v>
      </c>
      <c r="S13" s="25">
        <v>17</v>
      </c>
    </row>
    <row r="14" spans="1:19" x14ac:dyDescent="0.3">
      <c r="A14" s="12">
        <v>0.375</v>
      </c>
      <c r="B14" s="13">
        <f>M10</f>
        <v>12</v>
      </c>
      <c r="C14" s="13">
        <f t="shared" ref="C14:H14" si="4">N10</f>
        <v>13</v>
      </c>
      <c r="D14" s="13">
        <f t="shared" si="4"/>
        <v>12</v>
      </c>
      <c r="E14" s="13">
        <f t="shared" si="4"/>
        <v>13</v>
      </c>
      <c r="F14" s="13">
        <f t="shared" si="4"/>
        <v>10</v>
      </c>
      <c r="G14" s="13"/>
      <c r="H14" s="13">
        <f t="shared" si="4"/>
        <v>12</v>
      </c>
      <c r="L14" s="24">
        <v>0.45833333333333298</v>
      </c>
      <c r="M14" s="25">
        <v>21</v>
      </c>
      <c r="N14" s="25">
        <v>22</v>
      </c>
      <c r="O14" s="25">
        <v>20</v>
      </c>
      <c r="P14" s="25">
        <v>19</v>
      </c>
      <c r="Q14" s="25">
        <v>19</v>
      </c>
      <c r="R14" s="25">
        <v>9</v>
      </c>
      <c r="S14" s="25">
        <v>18</v>
      </c>
    </row>
    <row r="15" spans="1:19" x14ac:dyDescent="0.3">
      <c r="A15" s="12">
        <v>0.38541666666666702</v>
      </c>
      <c r="B15" s="13">
        <f>B14</f>
        <v>12</v>
      </c>
      <c r="C15" s="13">
        <f t="shared" ref="C15:H15" si="5">C14</f>
        <v>13</v>
      </c>
      <c r="D15" s="13">
        <f t="shared" si="5"/>
        <v>12</v>
      </c>
      <c r="E15" s="13">
        <f t="shared" si="5"/>
        <v>13</v>
      </c>
      <c r="F15" s="13">
        <f t="shared" si="5"/>
        <v>10</v>
      </c>
      <c r="G15" s="13"/>
      <c r="H15" s="13">
        <f t="shared" si="5"/>
        <v>12</v>
      </c>
      <c r="L15" s="24">
        <v>0.47916666666666602</v>
      </c>
      <c r="M15" s="25">
        <v>21</v>
      </c>
      <c r="N15" s="25">
        <v>21</v>
      </c>
      <c r="O15" s="25">
        <v>22</v>
      </c>
      <c r="P15" s="25">
        <v>19</v>
      </c>
      <c r="Q15" s="25">
        <v>20</v>
      </c>
      <c r="R15" s="25">
        <v>7</v>
      </c>
      <c r="S15" s="25">
        <v>18</v>
      </c>
    </row>
    <row r="16" spans="1:19" x14ac:dyDescent="0.3">
      <c r="A16" s="12">
        <v>0.39583333333333398</v>
      </c>
      <c r="B16" s="13">
        <f>M11</f>
        <v>13</v>
      </c>
      <c r="C16" s="13">
        <f t="shared" ref="C16:H16" si="6">N11</f>
        <v>15</v>
      </c>
      <c r="D16" s="13">
        <f t="shared" si="6"/>
        <v>14</v>
      </c>
      <c r="E16" s="13">
        <f t="shared" si="6"/>
        <v>14</v>
      </c>
      <c r="F16" s="13">
        <f t="shared" si="6"/>
        <v>14</v>
      </c>
      <c r="G16" s="13"/>
      <c r="H16" s="13">
        <f t="shared" si="6"/>
        <v>14</v>
      </c>
      <c r="L16" s="24">
        <v>0.5</v>
      </c>
      <c r="M16" s="25">
        <v>21</v>
      </c>
      <c r="N16" s="25">
        <v>21</v>
      </c>
      <c r="O16" s="25">
        <v>21</v>
      </c>
      <c r="P16" s="25">
        <v>21</v>
      </c>
      <c r="Q16" s="25">
        <v>19</v>
      </c>
      <c r="R16" s="25">
        <v>8</v>
      </c>
      <c r="S16" s="25">
        <v>21</v>
      </c>
    </row>
    <row r="17" spans="1:19" x14ac:dyDescent="0.3">
      <c r="A17" s="12">
        <v>0.40625</v>
      </c>
      <c r="B17" s="13">
        <f>B16</f>
        <v>13</v>
      </c>
      <c r="C17" s="13">
        <f t="shared" ref="C17:H17" si="7">C16</f>
        <v>15</v>
      </c>
      <c r="D17" s="13">
        <f t="shared" si="7"/>
        <v>14</v>
      </c>
      <c r="E17" s="13">
        <f t="shared" si="7"/>
        <v>14</v>
      </c>
      <c r="F17" s="13">
        <f t="shared" si="7"/>
        <v>14</v>
      </c>
      <c r="G17" s="13"/>
      <c r="H17" s="13">
        <f t="shared" si="7"/>
        <v>14</v>
      </c>
      <c r="L17" s="24">
        <v>0.52083333333333304</v>
      </c>
      <c r="M17" s="25">
        <v>23</v>
      </c>
      <c r="N17" s="25">
        <v>21</v>
      </c>
      <c r="O17" s="25">
        <v>23</v>
      </c>
      <c r="P17" s="25">
        <v>22</v>
      </c>
      <c r="Q17" s="25">
        <v>19</v>
      </c>
      <c r="R17" s="25">
        <v>13</v>
      </c>
      <c r="S17" s="25">
        <v>21</v>
      </c>
    </row>
    <row r="18" spans="1:19" x14ac:dyDescent="0.3">
      <c r="A18" s="12">
        <v>0.41666666666666702</v>
      </c>
      <c r="B18" s="13">
        <f>M12</f>
        <v>16</v>
      </c>
      <c r="C18" s="13">
        <f t="shared" ref="C18:H18" si="8">N12</f>
        <v>16</v>
      </c>
      <c r="D18" s="13">
        <f t="shared" si="8"/>
        <v>16</v>
      </c>
      <c r="E18" s="13">
        <f t="shared" si="8"/>
        <v>16</v>
      </c>
      <c r="F18" s="13">
        <f t="shared" si="8"/>
        <v>15</v>
      </c>
      <c r="G18" s="13">
        <f t="shared" si="8"/>
        <v>8</v>
      </c>
      <c r="H18" s="13">
        <f t="shared" si="8"/>
        <v>15</v>
      </c>
      <c r="L18" s="24">
        <v>0.54166666666666596</v>
      </c>
      <c r="M18" s="25">
        <v>22</v>
      </c>
      <c r="N18" s="25">
        <v>21</v>
      </c>
      <c r="O18" s="25">
        <v>21</v>
      </c>
      <c r="P18" s="25">
        <v>21</v>
      </c>
      <c r="Q18" s="25">
        <v>20</v>
      </c>
      <c r="R18" s="25">
        <v>14</v>
      </c>
      <c r="S18" s="25">
        <v>21</v>
      </c>
    </row>
    <row r="19" spans="1:19" x14ac:dyDescent="0.3">
      <c r="A19" s="12">
        <v>0.42708333333333398</v>
      </c>
      <c r="B19" s="13">
        <f>B18</f>
        <v>16</v>
      </c>
      <c r="C19" s="13">
        <f t="shared" ref="C19:H19" si="9">C18</f>
        <v>16</v>
      </c>
      <c r="D19" s="13">
        <f t="shared" si="9"/>
        <v>16</v>
      </c>
      <c r="E19" s="13">
        <f t="shared" si="9"/>
        <v>16</v>
      </c>
      <c r="F19" s="13">
        <f t="shared" si="9"/>
        <v>15</v>
      </c>
      <c r="G19" s="13">
        <f t="shared" si="9"/>
        <v>8</v>
      </c>
      <c r="H19" s="13">
        <f t="shared" si="9"/>
        <v>15</v>
      </c>
      <c r="L19" s="24">
        <v>0.5625</v>
      </c>
      <c r="M19" s="25">
        <v>22</v>
      </c>
      <c r="N19" s="25">
        <v>23</v>
      </c>
      <c r="O19" s="25">
        <v>23</v>
      </c>
      <c r="P19" s="25">
        <v>21</v>
      </c>
      <c r="Q19" s="25">
        <v>21</v>
      </c>
      <c r="R19" s="25">
        <v>13</v>
      </c>
      <c r="S19" s="25">
        <v>22</v>
      </c>
    </row>
    <row r="20" spans="1:19" x14ac:dyDescent="0.3">
      <c r="A20" s="12">
        <v>0.4375</v>
      </c>
      <c r="B20" s="13">
        <f>M13</f>
        <v>18</v>
      </c>
      <c r="C20" s="13">
        <f t="shared" ref="C20:H20" si="10">N13</f>
        <v>19</v>
      </c>
      <c r="D20" s="13">
        <f t="shared" si="10"/>
        <v>19</v>
      </c>
      <c r="E20" s="13">
        <f t="shared" si="10"/>
        <v>18</v>
      </c>
      <c r="F20" s="13">
        <f t="shared" si="10"/>
        <v>17</v>
      </c>
      <c r="G20" s="13">
        <f t="shared" si="10"/>
        <v>8</v>
      </c>
      <c r="H20" s="13">
        <f t="shared" si="10"/>
        <v>17</v>
      </c>
      <c r="L20" s="24">
        <v>0.58333333333333304</v>
      </c>
      <c r="M20" s="25">
        <v>23</v>
      </c>
      <c r="N20" s="25">
        <v>22</v>
      </c>
      <c r="O20" s="25">
        <v>22</v>
      </c>
      <c r="P20" s="25">
        <v>20</v>
      </c>
      <c r="Q20" s="25">
        <v>20</v>
      </c>
      <c r="R20" s="25">
        <v>13</v>
      </c>
      <c r="S20" s="25">
        <v>22</v>
      </c>
    </row>
    <row r="21" spans="1:19" x14ac:dyDescent="0.3">
      <c r="A21" s="12">
        <v>0.44791666666666702</v>
      </c>
      <c r="B21" s="13">
        <f>B20</f>
        <v>18</v>
      </c>
      <c r="C21" s="13">
        <f t="shared" ref="C21:H21" si="11">C20</f>
        <v>19</v>
      </c>
      <c r="D21" s="13">
        <f t="shared" si="11"/>
        <v>19</v>
      </c>
      <c r="E21" s="13">
        <f t="shared" si="11"/>
        <v>18</v>
      </c>
      <c r="F21" s="13">
        <f t="shared" si="11"/>
        <v>17</v>
      </c>
      <c r="G21" s="13">
        <f t="shared" si="11"/>
        <v>8</v>
      </c>
      <c r="H21" s="13">
        <f t="shared" si="11"/>
        <v>17</v>
      </c>
      <c r="L21" s="24">
        <v>0.60416666666666596</v>
      </c>
      <c r="M21" s="25">
        <v>21</v>
      </c>
      <c r="N21" s="25">
        <v>22</v>
      </c>
      <c r="O21" s="25">
        <v>22</v>
      </c>
      <c r="P21" s="25">
        <v>22</v>
      </c>
      <c r="Q21" s="25">
        <v>18</v>
      </c>
      <c r="R21" s="25">
        <v>12</v>
      </c>
      <c r="S21" s="25">
        <v>20</v>
      </c>
    </row>
    <row r="22" spans="1:19" x14ac:dyDescent="0.3">
      <c r="A22" s="12">
        <v>0.45833333333333398</v>
      </c>
      <c r="B22" s="13">
        <f>M14</f>
        <v>21</v>
      </c>
      <c r="C22" s="13">
        <f t="shared" ref="C22:H22" si="12">N14</f>
        <v>22</v>
      </c>
      <c r="D22" s="13">
        <f t="shared" si="12"/>
        <v>20</v>
      </c>
      <c r="E22" s="13">
        <f t="shared" si="12"/>
        <v>19</v>
      </c>
      <c r="F22" s="13">
        <f t="shared" si="12"/>
        <v>19</v>
      </c>
      <c r="G22" s="13">
        <f t="shared" si="12"/>
        <v>9</v>
      </c>
      <c r="H22" s="13">
        <f t="shared" si="12"/>
        <v>18</v>
      </c>
      <c r="L22" s="24">
        <v>0.625</v>
      </c>
      <c r="M22" s="25">
        <v>21</v>
      </c>
      <c r="N22" s="25">
        <v>22</v>
      </c>
      <c r="O22" s="25">
        <v>21</v>
      </c>
      <c r="P22" s="25">
        <v>19</v>
      </c>
      <c r="Q22" s="25">
        <v>19</v>
      </c>
      <c r="R22" s="25">
        <v>11</v>
      </c>
      <c r="S22" s="25">
        <v>21</v>
      </c>
    </row>
    <row r="23" spans="1:19" x14ac:dyDescent="0.3">
      <c r="A23" s="12">
        <v>0.46875</v>
      </c>
      <c r="B23" s="13">
        <f>B22</f>
        <v>21</v>
      </c>
      <c r="C23" s="13">
        <f t="shared" ref="C23:H23" si="13">C22</f>
        <v>22</v>
      </c>
      <c r="D23" s="13">
        <f t="shared" si="13"/>
        <v>20</v>
      </c>
      <c r="E23" s="13">
        <f t="shared" si="13"/>
        <v>19</v>
      </c>
      <c r="F23" s="13">
        <f t="shared" si="13"/>
        <v>19</v>
      </c>
      <c r="G23" s="13">
        <f t="shared" si="13"/>
        <v>9</v>
      </c>
      <c r="H23" s="13">
        <f t="shared" si="13"/>
        <v>18</v>
      </c>
      <c r="L23" s="24">
        <v>0.64583333333333304</v>
      </c>
      <c r="M23" s="25">
        <v>21</v>
      </c>
      <c r="N23" s="25">
        <v>20</v>
      </c>
      <c r="O23" s="25">
        <v>23</v>
      </c>
      <c r="P23" s="25">
        <v>21</v>
      </c>
      <c r="Q23" s="25">
        <v>18</v>
      </c>
      <c r="R23" s="25">
        <v>12</v>
      </c>
      <c r="S23" s="25">
        <v>21</v>
      </c>
    </row>
    <row r="24" spans="1:19" x14ac:dyDescent="0.3">
      <c r="A24" s="12">
        <v>0.47916666666666702</v>
      </c>
      <c r="B24" s="13">
        <f>M15</f>
        <v>21</v>
      </c>
      <c r="C24" s="13">
        <f t="shared" ref="C24:H24" si="14">N15</f>
        <v>21</v>
      </c>
      <c r="D24" s="13">
        <f t="shared" si="14"/>
        <v>22</v>
      </c>
      <c r="E24" s="13">
        <f t="shared" si="14"/>
        <v>19</v>
      </c>
      <c r="F24" s="13">
        <f t="shared" si="14"/>
        <v>20</v>
      </c>
      <c r="G24" s="13">
        <f t="shared" si="14"/>
        <v>7</v>
      </c>
      <c r="H24" s="13">
        <f t="shared" si="14"/>
        <v>18</v>
      </c>
      <c r="L24" s="24">
        <v>0.66666666666666596</v>
      </c>
      <c r="M24" s="25">
        <v>22</v>
      </c>
      <c r="N24" s="25">
        <v>20</v>
      </c>
      <c r="O24" s="25">
        <v>21</v>
      </c>
      <c r="P24" s="25">
        <v>22</v>
      </c>
      <c r="Q24" s="25">
        <v>19</v>
      </c>
      <c r="R24" s="25">
        <v>11</v>
      </c>
      <c r="S24" s="25">
        <v>20</v>
      </c>
    </row>
    <row r="25" spans="1:19" x14ac:dyDescent="0.3">
      <c r="A25" s="12">
        <v>0.48958333333333398</v>
      </c>
      <c r="B25" s="13">
        <f>B24</f>
        <v>21</v>
      </c>
      <c r="C25" s="13">
        <f t="shared" ref="C25:H25" si="15">C24</f>
        <v>21</v>
      </c>
      <c r="D25" s="13">
        <f t="shared" si="15"/>
        <v>22</v>
      </c>
      <c r="E25" s="13">
        <f t="shared" si="15"/>
        <v>19</v>
      </c>
      <c r="F25" s="13">
        <f t="shared" si="15"/>
        <v>20</v>
      </c>
      <c r="G25" s="13">
        <f t="shared" si="15"/>
        <v>7</v>
      </c>
      <c r="H25" s="13">
        <f t="shared" si="15"/>
        <v>18</v>
      </c>
      <c r="L25" s="24">
        <v>0.6875</v>
      </c>
      <c r="M25" s="25">
        <v>21</v>
      </c>
      <c r="N25" s="25">
        <v>20</v>
      </c>
      <c r="O25" s="25">
        <v>20</v>
      </c>
      <c r="P25" s="25">
        <v>20</v>
      </c>
      <c r="Q25" s="25">
        <v>17</v>
      </c>
      <c r="R25" s="25">
        <v>11</v>
      </c>
      <c r="S25" s="25">
        <v>21</v>
      </c>
    </row>
    <row r="26" spans="1:19" x14ac:dyDescent="0.3">
      <c r="A26" s="12">
        <v>0.5</v>
      </c>
      <c r="B26" s="13">
        <f>M16</f>
        <v>21</v>
      </c>
      <c r="C26" s="13">
        <f t="shared" ref="C26:H26" si="16">N16</f>
        <v>21</v>
      </c>
      <c r="D26" s="13">
        <f t="shared" si="16"/>
        <v>21</v>
      </c>
      <c r="E26" s="13">
        <f t="shared" si="16"/>
        <v>21</v>
      </c>
      <c r="F26" s="13">
        <f t="shared" si="16"/>
        <v>19</v>
      </c>
      <c r="G26" s="13">
        <f t="shared" si="16"/>
        <v>8</v>
      </c>
      <c r="H26" s="13">
        <f t="shared" si="16"/>
        <v>21</v>
      </c>
      <c r="L26" s="24">
        <v>0.70833333333333304</v>
      </c>
      <c r="M26" s="25">
        <v>20</v>
      </c>
      <c r="N26" s="25">
        <v>20</v>
      </c>
      <c r="O26" s="25">
        <v>20</v>
      </c>
      <c r="P26" s="25">
        <v>20</v>
      </c>
      <c r="Q26" s="25">
        <v>15</v>
      </c>
      <c r="R26" s="25">
        <v>10</v>
      </c>
      <c r="S26" s="25">
        <v>19</v>
      </c>
    </row>
    <row r="27" spans="1:19" x14ac:dyDescent="0.3">
      <c r="A27" s="12">
        <v>0.51041666666666696</v>
      </c>
      <c r="B27" s="13">
        <f>B26</f>
        <v>21</v>
      </c>
      <c r="C27" s="13">
        <f t="shared" ref="C27:H27" si="17">C26</f>
        <v>21</v>
      </c>
      <c r="D27" s="13">
        <f t="shared" si="17"/>
        <v>21</v>
      </c>
      <c r="E27" s="13">
        <f t="shared" si="17"/>
        <v>21</v>
      </c>
      <c r="F27" s="13">
        <f t="shared" si="17"/>
        <v>19</v>
      </c>
      <c r="G27" s="13">
        <f t="shared" si="17"/>
        <v>8</v>
      </c>
      <c r="H27" s="13">
        <f t="shared" si="17"/>
        <v>21</v>
      </c>
      <c r="L27" s="24">
        <v>0.72916666666666596</v>
      </c>
      <c r="M27" s="25">
        <v>19</v>
      </c>
      <c r="N27" s="25">
        <v>20</v>
      </c>
      <c r="O27" s="25">
        <v>20</v>
      </c>
      <c r="P27" s="25">
        <v>18</v>
      </c>
      <c r="Q27" s="25">
        <v>16</v>
      </c>
      <c r="R27" s="25">
        <v>10</v>
      </c>
      <c r="S27" s="25">
        <v>18</v>
      </c>
    </row>
    <row r="28" spans="1:19" x14ac:dyDescent="0.3">
      <c r="A28" s="12">
        <v>0.52083333333333404</v>
      </c>
      <c r="B28" s="13">
        <f>M17</f>
        <v>23</v>
      </c>
      <c r="C28" s="13">
        <f t="shared" ref="C28:H28" si="18">N17</f>
        <v>21</v>
      </c>
      <c r="D28" s="13">
        <f t="shared" si="18"/>
        <v>23</v>
      </c>
      <c r="E28" s="13">
        <f t="shared" si="18"/>
        <v>22</v>
      </c>
      <c r="F28" s="13">
        <f t="shared" si="18"/>
        <v>19</v>
      </c>
      <c r="G28" s="13">
        <f t="shared" si="18"/>
        <v>13</v>
      </c>
      <c r="H28" s="13">
        <f t="shared" si="18"/>
        <v>21</v>
      </c>
      <c r="L28" s="24">
        <v>0.75</v>
      </c>
      <c r="M28" s="25">
        <v>21</v>
      </c>
      <c r="N28" s="25">
        <v>21</v>
      </c>
      <c r="O28" s="25">
        <v>21</v>
      </c>
      <c r="P28" s="25">
        <v>19</v>
      </c>
      <c r="Q28" s="25">
        <v>18</v>
      </c>
      <c r="R28" s="25">
        <v>11</v>
      </c>
      <c r="S28" s="25">
        <v>19</v>
      </c>
    </row>
    <row r="29" spans="1:19" x14ac:dyDescent="0.3">
      <c r="A29" s="12">
        <v>0.53125</v>
      </c>
      <c r="B29" s="13">
        <f>B28</f>
        <v>23</v>
      </c>
      <c r="C29" s="13">
        <f t="shared" ref="C29:H29" si="19">C28</f>
        <v>21</v>
      </c>
      <c r="D29" s="13">
        <f t="shared" si="19"/>
        <v>23</v>
      </c>
      <c r="E29" s="13">
        <f t="shared" si="19"/>
        <v>22</v>
      </c>
      <c r="F29" s="13">
        <f t="shared" si="19"/>
        <v>19</v>
      </c>
      <c r="G29" s="13">
        <f t="shared" si="19"/>
        <v>13</v>
      </c>
      <c r="H29" s="13">
        <f t="shared" si="19"/>
        <v>21</v>
      </c>
      <c r="L29" s="24">
        <v>0.77083333333333304</v>
      </c>
      <c r="M29" s="25">
        <v>20</v>
      </c>
      <c r="N29" s="25">
        <v>22</v>
      </c>
      <c r="O29" s="25">
        <v>18</v>
      </c>
      <c r="P29" s="25">
        <v>19</v>
      </c>
      <c r="Q29" s="25">
        <v>16</v>
      </c>
      <c r="R29" s="25">
        <v>10</v>
      </c>
      <c r="S29" s="25">
        <v>19</v>
      </c>
    </row>
    <row r="30" spans="1:19" x14ac:dyDescent="0.3">
      <c r="A30" s="12">
        <v>0.54166666666666696</v>
      </c>
      <c r="B30" s="13">
        <f>M18</f>
        <v>22</v>
      </c>
      <c r="C30" s="13">
        <f t="shared" ref="C30:H30" si="20">N18</f>
        <v>21</v>
      </c>
      <c r="D30" s="13">
        <f t="shared" si="20"/>
        <v>21</v>
      </c>
      <c r="E30" s="13">
        <f t="shared" si="20"/>
        <v>21</v>
      </c>
      <c r="F30" s="13">
        <f t="shared" si="20"/>
        <v>20</v>
      </c>
      <c r="G30" s="13">
        <f t="shared" si="20"/>
        <v>14</v>
      </c>
      <c r="H30" s="13">
        <f t="shared" si="20"/>
        <v>21</v>
      </c>
      <c r="L30" s="24">
        <v>0.79166666666666596</v>
      </c>
      <c r="M30" s="25">
        <v>22</v>
      </c>
      <c r="N30" s="25">
        <v>20</v>
      </c>
      <c r="O30" s="25">
        <v>21</v>
      </c>
      <c r="P30" s="25">
        <v>20</v>
      </c>
      <c r="Q30" s="25">
        <v>15</v>
      </c>
      <c r="R30" s="25">
        <v>10</v>
      </c>
      <c r="S30" s="25">
        <v>19</v>
      </c>
    </row>
    <row r="31" spans="1:19" x14ac:dyDescent="0.3">
      <c r="A31" s="12">
        <v>0.55208333333333404</v>
      </c>
      <c r="B31" s="13">
        <f>B30</f>
        <v>22</v>
      </c>
      <c r="C31" s="13">
        <f t="shared" ref="C31:H31" si="21">C30</f>
        <v>21</v>
      </c>
      <c r="D31" s="13">
        <f t="shared" si="21"/>
        <v>21</v>
      </c>
      <c r="E31" s="13">
        <f t="shared" si="21"/>
        <v>21</v>
      </c>
      <c r="F31" s="13">
        <f t="shared" si="21"/>
        <v>20</v>
      </c>
      <c r="G31" s="13">
        <f t="shared" si="21"/>
        <v>14</v>
      </c>
      <c r="H31" s="13">
        <f t="shared" si="21"/>
        <v>21</v>
      </c>
      <c r="L31" s="24">
        <v>0.8125</v>
      </c>
      <c r="M31" s="25">
        <v>21</v>
      </c>
      <c r="N31" s="25">
        <v>21</v>
      </c>
      <c r="O31" s="25">
        <v>19</v>
      </c>
      <c r="P31" s="25">
        <v>20</v>
      </c>
      <c r="Q31" s="25">
        <v>17</v>
      </c>
      <c r="R31" s="25">
        <v>11</v>
      </c>
      <c r="S31" s="25">
        <v>17</v>
      </c>
    </row>
    <row r="32" spans="1:19" x14ac:dyDescent="0.3">
      <c r="A32" s="12">
        <v>0.562500000000001</v>
      </c>
      <c r="B32" s="13">
        <f>M19</f>
        <v>22</v>
      </c>
      <c r="C32" s="13">
        <f t="shared" ref="C32:H32" si="22">N19</f>
        <v>23</v>
      </c>
      <c r="D32" s="13">
        <f t="shared" si="22"/>
        <v>23</v>
      </c>
      <c r="E32" s="13">
        <f t="shared" si="22"/>
        <v>21</v>
      </c>
      <c r="F32" s="13">
        <f t="shared" si="22"/>
        <v>21</v>
      </c>
      <c r="G32" s="13">
        <f t="shared" si="22"/>
        <v>13</v>
      </c>
      <c r="H32" s="13">
        <f t="shared" si="22"/>
        <v>22</v>
      </c>
      <c r="L32" s="24">
        <v>0.83333333333333304</v>
      </c>
      <c r="M32" s="25">
        <v>21</v>
      </c>
      <c r="N32" s="25">
        <v>19</v>
      </c>
      <c r="O32" s="25">
        <v>19</v>
      </c>
      <c r="P32" s="25">
        <v>19</v>
      </c>
      <c r="Q32" s="25">
        <v>15</v>
      </c>
      <c r="R32" s="25">
        <v>10</v>
      </c>
      <c r="S32" s="25">
        <v>18</v>
      </c>
    </row>
    <row r="33" spans="1:19" x14ac:dyDescent="0.3">
      <c r="A33" s="12">
        <v>0.57291666666666696</v>
      </c>
      <c r="B33" s="13">
        <f>B32</f>
        <v>22</v>
      </c>
      <c r="C33" s="13">
        <f t="shared" ref="C33:H33" si="23">C32</f>
        <v>23</v>
      </c>
      <c r="D33" s="13">
        <f t="shared" si="23"/>
        <v>23</v>
      </c>
      <c r="E33" s="13">
        <f t="shared" si="23"/>
        <v>21</v>
      </c>
      <c r="F33" s="13">
        <f t="shared" si="23"/>
        <v>21</v>
      </c>
      <c r="G33" s="13">
        <f t="shared" si="23"/>
        <v>13</v>
      </c>
      <c r="H33" s="13">
        <f t="shared" si="23"/>
        <v>22</v>
      </c>
      <c r="L33" s="24">
        <v>0.85416666666666596</v>
      </c>
      <c r="M33" s="25">
        <v>21</v>
      </c>
      <c r="N33" s="25">
        <v>20</v>
      </c>
      <c r="O33" s="25">
        <v>18</v>
      </c>
      <c r="P33" s="25">
        <v>20</v>
      </c>
      <c r="Q33" s="25">
        <v>14</v>
      </c>
      <c r="R33" s="25">
        <v>9</v>
      </c>
      <c r="S33" s="25">
        <v>17</v>
      </c>
    </row>
    <row r="34" spans="1:19" x14ac:dyDescent="0.3">
      <c r="A34" s="12">
        <v>0.58333333333333404</v>
      </c>
      <c r="B34" s="13">
        <f>M20</f>
        <v>23</v>
      </c>
      <c r="C34" s="13">
        <f t="shared" ref="C34:H34" si="24">N20</f>
        <v>22</v>
      </c>
      <c r="D34" s="13">
        <f t="shared" si="24"/>
        <v>22</v>
      </c>
      <c r="E34" s="13">
        <f t="shared" si="24"/>
        <v>20</v>
      </c>
      <c r="F34" s="13">
        <f t="shared" si="24"/>
        <v>20</v>
      </c>
      <c r="G34" s="13">
        <f t="shared" si="24"/>
        <v>13</v>
      </c>
      <c r="H34" s="13">
        <f t="shared" si="24"/>
        <v>22</v>
      </c>
      <c r="L34" s="24">
        <v>0.874999999999999</v>
      </c>
      <c r="M34" s="25">
        <v>18</v>
      </c>
      <c r="N34" s="25">
        <v>17</v>
      </c>
      <c r="O34" s="25">
        <v>18</v>
      </c>
      <c r="P34" s="25">
        <v>17</v>
      </c>
      <c r="Q34" s="25">
        <v>13</v>
      </c>
      <c r="R34" s="25">
        <v>8</v>
      </c>
      <c r="S34" s="25">
        <v>16</v>
      </c>
    </row>
    <row r="35" spans="1:19" x14ac:dyDescent="0.3">
      <c r="A35" s="12">
        <v>0.593750000000001</v>
      </c>
      <c r="B35" s="13">
        <f>B34</f>
        <v>23</v>
      </c>
      <c r="C35" s="13">
        <f t="shared" ref="C35:H35" si="25">C34</f>
        <v>22</v>
      </c>
      <c r="D35" s="13">
        <f t="shared" si="25"/>
        <v>22</v>
      </c>
      <c r="E35" s="13">
        <f t="shared" si="25"/>
        <v>20</v>
      </c>
      <c r="F35" s="13">
        <f t="shared" si="25"/>
        <v>20</v>
      </c>
      <c r="G35" s="13">
        <f t="shared" si="25"/>
        <v>13</v>
      </c>
      <c r="H35" s="13">
        <f t="shared" si="25"/>
        <v>22</v>
      </c>
      <c r="L35" s="24">
        <v>0.89583333333333304</v>
      </c>
      <c r="M35" s="25">
        <v>16</v>
      </c>
      <c r="N35" s="25">
        <v>15</v>
      </c>
      <c r="O35" s="25">
        <v>15</v>
      </c>
      <c r="P35" s="25">
        <v>13</v>
      </c>
      <c r="Q35" s="25">
        <v>11</v>
      </c>
      <c r="R35" s="25">
        <v>8</v>
      </c>
      <c r="S35" s="25">
        <v>15</v>
      </c>
    </row>
    <row r="36" spans="1:19" x14ac:dyDescent="0.3">
      <c r="A36" s="12">
        <v>0.60416666666666696</v>
      </c>
      <c r="B36" s="13">
        <f>M21</f>
        <v>21</v>
      </c>
      <c r="C36" s="13">
        <f t="shared" ref="C36:H36" si="26">N21</f>
        <v>22</v>
      </c>
      <c r="D36" s="13">
        <f t="shared" si="26"/>
        <v>22</v>
      </c>
      <c r="E36" s="13">
        <f t="shared" si="26"/>
        <v>22</v>
      </c>
      <c r="F36" s="13">
        <f t="shared" si="26"/>
        <v>18</v>
      </c>
      <c r="G36" s="13">
        <f t="shared" si="26"/>
        <v>12</v>
      </c>
      <c r="H36" s="13">
        <f t="shared" si="26"/>
        <v>20</v>
      </c>
      <c r="L36" s="24">
        <v>0.91666666666666596</v>
      </c>
      <c r="M36" s="25">
        <v>10</v>
      </c>
      <c r="N36" s="25">
        <v>12</v>
      </c>
      <c r="O36" s="25">
        <v>11</v>
      </c>
      <c r="P36" s="25">
        <v>11</v>
      </c>
      <c r="Q36" s="25">
        <v>8</v>
      </c>
      <c r="R36" s="25">
        <v>1</v>
      </c>
      <c r="S36" s="25">
        <v>10</v>
      </c>
    </row>
    <row r="37" spans="1:19" x14ac:dyDescent="0.3">
      <c r="A37" s="12">
        <v>0.61458333333333404</v>
      </c>
      <c r="B37" s="13">
        <f>B36</f>
        <v>21</v>
      </c>
      <c r="C37" s="13">
        <f t="shared" ref="C37:H37" si="27">C36</f>
        <v>22</v>
      </c>
      <c r="D37" s="13">
        <f t="shared" si="27"/>
        <v>22</v>
      </c>
      <c r="E37" s="13">
        <f t="shared" si="27"/>
        <v>22</v>
      </c>
      <c r="F37" s="13">
        <f t="shared" si="27"/>
        <v>18</v>
      </c>
      <c r="G37" s="13">
        <f t="shared" si="27"/>
        <v>12</v>
      </c>
      <c r="H37" s="13">
        <f t="shared" si="27"/>
        <v>20</v>
      </c>
      <c r="L37" s="24">
        <v>0.937499999999999</v>
      </c>
      <c r="M37" s="25">
        <v>8</v>
      </c>
      <c r="N37" s="25">
        <v>8</v>
      </c>
      <c r="O37" s="25">
        <v>8</v>
      </c>
      <c r="P37" s="25">
        <v>8</v>
      </c>
      <c r="Q37" s="25">
        <v>5</v>
      </c>
      <c r="R37" s="25">
        <v>1</v>
      </c>
      <c r="S37" s="25">
        <v>7</v>
      </c>
    </row>
    <row r="38" spans="1:19" x14ac:dyDescent="0.3">
      <c r="A38" s="12">
        <v>0.625000000000001</v>
      </c>
      <c r="B38" s="13">
        <f>M22</f>
        <v>21</v>
      </c>
      <c r="C38" s="13">
        <f t="shared" ref="C38:H38" si="28">N22</f>
        <v>22</v>
      </c>
      <c r="D38" s="13">
        <f t="shared" si="28"/>
        <v>21</v>
      </c>
      <c r="E38" s="13">
        <f t="shared" si="28"/>
        <v>19</v>
      </c>
      <c r="F38" s="13">
        <f t="shared" si="28"/>
        <v>19</v>
      </c>
      <c r="G38" s="13">
        <f t="shared" si="28"/>
        <v>11</v>
      </c>
      <c r="H38" s="13">
        <f t="shared" si="28"/>
        <v>21</v>
      </c>
      <c r="L38" s="26"/>
      <c r="M38" s="25"/>
      <c r="N38" s="25"/>
      <c r="O38" s="25"/>
      <c r="P38" s="25"/>
      <c r="Q38" s="25"/>
      <c r="R38" s="25"/>
      <c r="S38" s="25"/>
    </row>
    <row r="39" spans="1:19" x14ac:dyDescent="0.3">
      <c r="A39" s="12">
        <v>0.63541666666666696</v>
      </c>
      <c r="B39" s="13">
        <f>B38</f>
        <v>21</v>
      </c>
      <c r="C39" s="13">
        <f t="shared" ref="C39:H39" si="29">C38</f>
        <v>22</v>
      </c>
      <c r="D39" s="13">
        <f t="shared" si="29"/>
        <v>21</v>
      </c>
      <c r="E39" s="13">
        <f t="shared" si="29"/>
        <v>19</v>
      </c>
      <c r="F39" s="13">
        <f t="shared" si="29"/>
        <v>19</v>
      </c>
      <c r="G39" s="13">
        <f t="shared" si="29"/>
        <v>11</v>
      </c>
      <c r="H39" s="13">
        <f t="shared" si="29"/>
        <v>21</v>
      </c>
      <c r="L39" s="27" t="s">
        <v>32</v>
      </c>
      <c r="M39" s="27">
        <v>45.416666666666664</v>
      </c>
      <c r="N39" s="27">
        <v>45.583333333333336</v>
      </c>
      <c r="O39" s="27">
        <v>45.5</v>
      </c>
      <c r="P39" s="27">
        <v>44.333333333333336</v>
      </c>
      <c r="Q39" s="27">
        <v>38.75</v>
      </c>
      <c r="R39" s="27">
        <v>21.166666666666668</v>
      </c>
      <c r="S39" s="27">
        <v>43.25</v>
      </c>
    </row>
    <row r="40" spans="1:19" x14ac:dyDescent="0.3">
      <c r="A40" s="12">
        <v>0.64583333333333404</v>
      </c>
      <c r="B40" s="13">
        <f>M23</f>
        <v>21</v>
      </c>
      <c r="C40" s="13">
        <f t="shared" ref="C40:H40" si="30">N23</f>
        <v>20</v>
      </c>
      <c r="D40" s="13">
        <f t="shared" si="30"/>
        <v>23</v>
      </c>
      <c r="E40" s="13">
        <f t="shared" si="30"/>
        <v>21</v>
      </c>
      <c r="F40" s="13">
        <f t="shared" si="30"/>
        <v>18</v>
      </c>
      <c r="G40" s="13">
        <f t="shared" si="30"/>
        <v>12</v>
      </c>
      <c r="H40" s="13">
        <f t="shared" si="30"/>
        <v>21</v>
      </c>
    </row>
    <row r="41" spans="1:19" x14ac:dyDescent="0.3">
      <c r="A41" s="12">
        <v>0.656250000000001</v>
      </c>
      <c r="B41" s="13">
        <f>B40</f>
        <v>21</v>
      </c>
      <c r="C41" s="13">
        <f t="shared" ref="C41:H41" si="31">C40</f>
        <v>20</v>
      </c>
      <c r="D41" s="13">
        <f t="shared" si="31"/>
        <v>23</v>
      </c>
      <c r="E41" s="13">
        <f t="shared" si="31"/>
        <v>21</v>
      </c>
      <c r="F41" s="13">
        <f t="shared" si="31"/>
        <v>18</v>
      </c>
      <c r="G41" s="13">
        <f t="shared" si="31"/>
        <v>12</v>
      </c>
      <c r="H41" s="13">
        <f t="shared" si="31"/>
        <v>21</v>
      </c>
    </row>
    <row r="42" spans="1:19" x14ac:dyDescent="0.3">
      <c r="A42" s="12">
        <v>0.66666666666666696</v>
      </c>
      <c r="B42" s="13">
        <f>M24</f>
        <v>22</v>
      </c>
      <c r="C42" s="13">
        <f t="shared" ref="C42:H42" si="32">N24</f>
        <v>20</v>
      </c>
      <c r="D42" s="13">
        <f t="shared" si="32"/>
        <v>21</v>
      </c>
      <c r="E42" s="13">
        <f t="shared" si="32"/>
        <v>22</v>
      </c>
      <c r="F42" s="13">
        <f t="shared" si="32"/>
        <v>19</v>
      </c>
      <c r="G42" s="13">
        <f t="shared" si="32"/>
        <v>11</v>
      </c>
      <c r="H42" s="13">
        <f t="shared" si="32"/>
        <v>20</v>
      </c>
    </row>
    <row r="43" spans="1:19" x14ac:dyDescent="0.3">
      <c r="A43" s="12">
        <v>0.67708333333333404</v>
      </c>
      <c r="B43" s="13">
        <f>B42</f>
        <v>22</v>
      </c>
      <c r="C43" s="13">
        <f t="shared" ref="C43:H43" si="33">C42</f>
        <v>20</v>
      </c>
      <c r="D43" s="13">
        <f t="shared" si="33"/>
        <v>21</v>
      </c>
      <c r="E43" s="13">
        <f t="shared" si="33"/>
        <v>22</v>
      </c>
      <c r="F43" s="13">
        <f t="shared" si="33"/>
        <v>19</v>
      </c>
      <c r="G43" s="13">
        <f t="shared" si="33"/>
        <v>11</v>
      </c>
      <c r="H43" s="13">
        <f t="shared" si="33"/>
        <v>20</v>
      </c>
    </row>
    <row r="44" spans="1:19" x14ac:dyDescent="0.3">
      <c r="A44" s="12">
        <v>0.687500000000001</v>
      </c>
      <c r="B44" s="13">
        <f>M25</f>
        <v>21</v>
      </c>
      <c r="C44" s="13">
        <f t="shared" ref="C44:H44" si="34">N25</f>
        <v>20</v>
      </c>
      <c r="D44" s="13">
        <f t="shared" si="34"/>
        <v>20</v>
      </c>
      <c r="E44" s="13">
        <f t="shared" si="34"/>
        <v>20</v>
      </c>
      <c r="F44" s="13">
        <f t="shared" si="34"/>
        <v>17</v>
      </c>
      <c r="G44" s="13">
        <f t="shared" si="34"/>
        <v>11</v>
      </c>
      <c r="H44" s="13">
        <f t="shared" si="34"/>
        <v>21</v>
      </c>
    </row>
    <row r="45" spans="1:19" x14ac:dyDescent="0.3">
      <c r="A45" s="12">
        <v>0.69791666666666696</v>
      </c>
      <c r="B45" s="13">
        <f>B44</f>
        <v>21</v>
      </c>
      <c r="C45" s="13">
        <f t="shared" ref="C45:H45" si="35">C44</f>
        <v>20</v>
      </c>
      <c r="D45" s="13">
        <f t="shared" si="35"/>
        <v>20</v>
      </c>
      <c r="E45" s="13">
        <f t="shared" si="35"/>
        <v>20</v>
      </c>
      <c r="F45" s="13">
        <f t="shared" si="35"/>
        <v>17</v>
      </c>
      <c r="G45" s="13">
        <f t="shared" si="35"/>
        <v>11</v>
      </c>
      <c r="H45" s="13">
        <f t="shared" si="35"/>
        <v>21</v>
      </c>
    </row>
    <row r="46" spans="1:19" x14ac:dyDescent="0.3">
      <c r="A46" s="12">
        <v>0.70833333333333404</v>
      </c>
      <c r="B46" s="13">
        <f>M26</f>
        <v>20</v>
      </c>
      <c r="C46" s="13">
        <f t="shared" ref="C46:H46" si="36">N26</f>
        <v>20</v>
      </c>
      <c r="D46" s="13">
        <f t="shared" si="36"/>
        <v>20</v>
      </c>
      <c r="E46" s="13">
        <f t="shared" si="36"/>
        <v>20</v>
      </c>
      <c r="F46" s="13">
        <f t="shared" si="36"/>
        <v>15</v>
      </c>
      <c r="G46" s="13">
        <f t="shared" si="36"/>
        <v>10</v>
      </c>
      <c r="H46" s="13">
        <f t="shared" si="36"/>
        <v>19</v>
      </c>
    </row>
    <row r="47" spans="1:19" x14ac:dyDescent="0.3">
      <c r="A47" s="12">
        <v>0.718750000000001</v>
      </c>
      <c r="B47" s="13">
        <f>B46</f>
        <v>20</v>
      </c>
      <c r="C47" s="13">
        <f t="shared" ref="C47:H47" si="37">C46</f>
        <v>20</v>
      </c>
      <c r="D47" s="13">
        <f t="shared" si="37"/>
        <v>20</v>
      </c>
      <c r="E47" s="13">
        <f t="shared" si="37"/>
        <v>20</v>
      </c>
      <c r="F47" s="13">
        <f t="shared" si="37"/>
        <v>15</v>
      </c>
      <c r="G47" s="13">
        <f t="shared" si="37"/>
        <v>10</v>
      </c>
      <c r="H47" s="13">
        <f t="shared" si="37"/>
        <v>19</v>
      </c>
    </row>
    <row r="48" spans="1:19" x14ac:dyDescent="0.3">
      <c r="A48" s="12">
        <v>0.72916666666666796</v>
      </c>
      <c r="B48" s="13">
        <f>M27</f>
        <v>19</v>
      </c>
      <c r="C48" s="13">
        <f t="shared" ref="C48:H48" si="38">N27</f>
        <v>20</v>
      </c>
      <c r="D48" s="13">
        <f t="shared" si="38"/>
        <v>20</v>
      </c>
      <c r="E48" s="13">
        <f t="shared" si="38"/>
        <v>18</v>
      </c>
      <c r="F48" s="13">
        <f t="shared" si="38"/>
        <v>16</v>
      </c>
      <c r="G48" s="13">
        <f t="shared" si="38"/>
        <v>10</v>
      </c>
      <c r="H48" s="13">
        <f t="shared" si="38"/>
        <v>18</v>
      </c>
    </row>
    <row r="49" spans="1:8" x14ac:dyDescent="0.3">
      <c r="A49" s="12">
        <v>0.73958333333333404</v>
      </c>
      <c r="B49" s="13">
        <f>B48</f>
        <v>19</v>
      </c>
      <c r="C49" s="13">
        <f t="shared" ref="C49:H49" si="39">C48</f>
        <v>20</v>
      </c>
      <c r="D49" s="13">
        <f t="shared" si="39"/>
        <v>20</v>
      </c>
      <c r="E49" s="13">
        <f t="shared" si="39"/>
        <v>18</v>
      </c>
      <c r="F49" s="13">
        <f t="shared" si="39"/>
        <v>16</v>
      </c>
      <c r="G49" s="13">
        <f t="shared" si="39"/>
        <v>10</v>
      </c>
      <c r="H49" s="13">
        <f t="shared" si="39"/>
        <v>18</v>
      </c>
    </row>
    <row r="50" spans="1:8" x14ac:dyDescent="0.3">
      <c r="A50" s="12">
        <v>0.750000000000001</v>
      </c>
      <c r="B50" s="13">
        <f>M28</f>
        <v>21</v>
      </c>
      <c r="C50" s="13">
        <f t="shared" ref="C50:H50" si="40">N28</f>
        <v>21</v>
      </c>
      <c r="D50" s="13">
        <f t="shared" si="40"/>
        <v>21</v>
      </c>
      <c r="E50" s="13">
        <f t="shared" si="40"/>
        <v>19</v>
      </c>
      <c r="F50" s="13">
        <f t="shared" si="40"/>
        <v>18</v>
      </c>
      <c r="G50" s="13">
        <f t="shared" si="40"/>
        <v>11</v>
      </c>
      <c r="H50" s="13">
        <f t="shared" si="40"/>
        <v>19</v>
      </c>
    </row>
    <row r="51" spans="1:8" x14ac:dyDescent="0.3">
      <c r="A51" s="12">
        <v>0.76041666666666796</v>
      </c>
      <c r="B51" s="13">
        <f>B50</f>
        <v>21</v>
      </c>
      <c r="C51" s="13">
        <f t="shared" ref="C51:H51" si="41">C50</f>
        <v>21</v>
      </c>
      <c r="D51" s="13">
        <f t="shared" si="41"/>
        <v>21</v>
      </c>
      <c r="E51" s="13">
        <f t="shared" si="41"/>
        <v>19</v>
      </c>
      <c r="F51" s="13">
        <f t="shared" si="41"/>
        <v>18</v>
      </c>
      <c r="G51" s="13">
        <f t="shared" si="41"/>
        <v>11</v>
      </c>
      <c r="H51" s="13">
        <f t="shared" si="41"/>
        <v>19</v>
      </c>
    </row>
    <row r="52" spans="1:8" x14ac:dyDescent="0.3">
      <c r="A52" s="12">
        <v>0.77083333333333404</v>
      </c>
      <c r="B52" s="13">
        <f>M29</f>
        <v>20</v>
      </c>
      <c r="C52" s="13">
        <f t="shared" ref="C52:H52" si="42">N29</f>
        <v>22</v>
      </c>
      <c r="D52" s="13">
        <f t="shared" si="42"/>
        <v>18</v>
      </c>
      <c r="E52" s="13">
        <f t="shared" si="42"/>
        <v>19</v>
      </c>
      <c r="F52" s="13">
        <f t="shared" si="42"/>
        <v>16</v>
      </c>
      <c r="G52" s="13">
        <f t="shared" si="42"/>
        <v>10</v>
      </c>
      <c r="H52" s="13">
        <f t="shared" si="42"/>
        <v>19</v>
      </c>
    </row>
    <row r="53" spans="1:8" x14ac:dyDescent="0.3">
      <c r="A53" s="12">
        <v>0.781250000000001</v>
      </c>
      <c r="B53" s="13">
        <f>B52</f>
        <v>20</v>
      </c>
      <c r="C53" s="13">
        <f t="shared" ref="C53:H53" si="43">C52</f>
        <v>22</v>
      </c>
      <c r="D53" s="13">
        <f t="shared" si="43"/>
        <v>18</v>
      </c>
      <c r="E53" s="13">
        <f t="shared" si="43"/>
        <v>19</v>
      </c>
      <c r="F53" s="13">
        <f t="shared" si="43"/>
        <v>16</v>
      </c>
      <c r="G53" s="13">
        <f t="shared" si="43"/>
        <v>10</v>
      </c>
      <c r="H53" s="13">
        <f t="shared" si="43"/>
        <v>19</v>
      </c>
    </row>
    <row r="54" spans="1:8" x14ac:dyDescent="0.3">
      <c r="A54" s="12">
        <v>0.79166666666666796</v>
      </c>
      <c r="B54" s="13">
        <f>M30</f>
        <v>22</v>
      </c>
      <c r="C54" s="13">
        <f t="shared" ref="C54:H54" si="44">N30</f>
        <v>20</v>
      </c>
      <c r="D54" s="13">
        <f t="shared" si="44"/>
        <v>21</v>
      </c>
      <c r="E54" s="13">
        <f t="shared" si="44"/>
        <v>20</v>
      </c>
      <c r="F54" s="13">
        <f t="shared" si="44"/>
        <v>15</v>
      </c>
      <c r="G54" s="13">
        <f t="shared" si="44"/>
        <v>10</v>
      </c>
      <c r="H54" s="13">
        <f t="shared" si="44"/>
        <v>19</v>
      </c>
    </row>
    <row r="55" spans="1:8" x14ac:dyDescent="0.3">
      <c r="A55" s="12">
        <v>0.80208333333333404</v>
      </c>
      <c r="B55" s="13">
        <f>B54</f>
        <v>22</v>
      </c>
      <c r="C55" s="13">
        <f t="shared" ref="C55:H55" si="45">C54</f>
        <v>20</v>
      </c>
      <c r="D55" s="13">
        <f t="shared" si="45"/>
        <v>21</v>
      </c>
      <c r="E55" s="13">
        <f t="shared" si="45"/>
        <v>20</v>
      </c>
      <c r="F55" s="13">
        <f t="shared" si="45"/>
        <v>15</v>
      </c>
      <c r="G55" s="13">
        <f t="shared" si="45"/>
        <v>10</v>
      </c>
      <c r="H55" s="13">
        <f t="shared" si="45"/>
        <v>19</v>
      </c>
    </row>
    <row r="56" spans="1:8" x14ac:dyDescent="0.3">
      <c r="A56" s="12">
        <v>0.812500000000001</v>
      </c>
      <c r="B56" s="13">
        <f>M31</f>
        <v>21</v>
      </c>
      <c r="C56" s="13">
        <f t="shared" ref="C56:H56" si="46">N31</f>
        <v>21</v>
      </c>
      <c r="D56" s="13">
        <f t="shared" si="46"/>
        <v>19</v>
      </c>
      <c r="E56" s="13">
        <f t="shared" si="46"/>
        <v>20</v>
      </c>
      <c r="F56" s="13">
        <f t="shared" si="46"/>
        <v>17</v>
      </c>
      <c r="G56" s="13">
        <f t="shared" si="46"/>
        <v>11</v>
      </c>
      <c r="H56" s="13">
        <f t="shared" si="46"/>
        <v>17</v>
      </c>
    </row>
    <row r="57" spans="1:8" x14ac:dyDescent="0.3">
      <c r="A57" s="12">
        <v>0.82291666666666796</v>
      </c>
      <c r="B57" s="13">
        <f>B56</f>
        <v>21</v>
      </c>
      <c r="C57" s="13">
        <f t="shared" ref="C57:H57" si="47">C56</f>
        <v>21</v>
      </c>
      <c r="D57" s="13">
        <f t="shared" si="47"/>
        <v>19</v>
      </c>
      <c r="E57" s="13">
        <f t="shared" si="47"/>
        <v>20</v>
      </c>
      <c r="F57" s="13">
        <f t="shared" si="47"/>
        <v>17</v>
      </c>
      <c r="G57" s="13">
        <f t="shared" si="47"/>
        <v>11</v>
      </c>
      <c r="H57" s="13">
        <f t="shared" si="47"/>
        <v>17</v>
      </c>
    </row>
    <row r="58" spans="1:8" x14ac:dyDescent="0.3">
      <c r="A58" s="12">
        <v>0.83333333333333404</v>
      </c>
      <c r="B58" s="13">
        <f>M32</f>
        <v>21</v>
      </c>
      <c r="C58" s="13">
        <f t="shared" ref="C58:H58" si="48">N32</f>
        <v>19</v>
      </c>
      <c r="D58" s="13">
        <f t="shared" si="48"/>
        <v>19</v>
      </c>
      <c r="E58" s="13">
        <f t="shared" si="48"/>
        <v>19</v>
      </c>
      <c r="F58" s="13">
        <f t="shared" si="48"/>
        <v>15</v>
      </c>
      <c r="G58" s="13">
        <f t="shared" si="48"/>
        <v>10</v>
      </c>
      <c r="H58" s="13">
        <f t="shared" si="48"/>
        <v>18</v>
      </c>
    </row>
    <row r="59" spans="1:8" x14ac:dyDescent="0.3">
      <c r="A59" s="12">
        <v>0.843750000000001</v>
      </c>
      <c r="B59" s="13">
        <f>B58</f>
        <v>21</v>
      </c>
      <c r="C59" s="13">
        <f t="shared" ref="C59:H59" si="49">C58</f>
        <v>19</v>
      </c>
      <c r="D59" s="13">
        <f t="shared" si="49"/>
        <v>19</v>
      </c>
      <c r="E59" s="13">
        <f t="shared" si="49"/>
        <v>19</v>
      </c>
      <c r="F59" s="13">
        <f t="shared" si="49"/>
        <v>15</v>
      </c>
      <c r="G59" s="13">
        <f t="shared" si="49"/>
        <v>10</v>
      </c>
      <c r="H59" s="13">
        <f t="shared" si="49"/>
        <v>18</v>
      </c>
    </row>
    <row r="60" spans="1:8" x14ac:dyDescent="0.3">
      <c r="A60" s="12">
        <v>0.85416666666666796</v>
      </c>
      <c r="B60" s="13">
        <f>M33</f>
        <v>21</v>
      </c>
      <c r="C60" s="13">
        <f t="shared" ref="C60:H60" si="50">N33</f>
        <v>20</v>
      </c>
      <c r="D60" s="13">
        <f t="shared" si="50"/>
        <v>18</v>
      </c>
      <c r="E60" s="13">
        <f t="shared" si="50"/>
        <v>20</v>
      </c>
      <c r="F60" s="13">
        <f t="shared" si="50"/>
        <v>14</v>
      </c>
      <c r="G60" s="13">
        <f t="shared" si="50"/>
        <v>9</v>
      </c>
      <c r="H60" s="13">
        <f t="shared" si="50"/>
        <v>17</v>
      </c>
    </row>
    <row r="61" spans="1:8" x14ac:dyDescent="0.3">
      <c r="A61" s="12">
        <v>0.86458333333333404</v>
      </c>
      <c r="B61" s="13">
        <f>B60</f>
        <v>21</v>
      </c>
      <c r="C61" s="13">
        <f t="shared" ref="C61:H61" si="51">C60</f>
        <v>20</v>
      </c>
      <c r="D61" s="13">
        <f t="shared" si="51"/>
        <v>18</v>
      </c>
      <c r="E61" s="13">
        <f t="shared" si="51"/>
        <v>20</v>
      </c>
      <c r="F61" s="13">
        <f t="shared" si="51"/>
        <v>14</v>
      </c>
      <c r="G61" s="13">
        <f t="shared" si="51"/>
        <v>9</v>
      </c>
      <c r="H61" s="13">
        <f t="shared" si="51"/>
        <v>17</v>
      </c>
    </row>
    <row r="62" spans="1:8" x14ac:dyDescent="0.3">
      <c r="A62" s="12">
        <v>0.875000000000001</v>
      </c>
      <c r="B62" s="13">
        <f>M34</f>
        <v>18</v>
      </c>
      <c r="C62" s="13">
        <f t="shared" ref="C62:H62" si="52">N34</f>
        <v>17</v>
      </c>
      <c r="D62" s="13">
        <f t="shared" si="52"/>
        <v>18</v>
      </c>
      <c r="E62" s="13">
        <f t="shared" si="52"/>
        <v>17</v>
      </c>
      <c r="F62" s="13">
        <f t="shared" si="52"/>
        <v>13</v>
      </c>
      <c r="G62" s="13">
        <f t="shared" si="52"/>
        <v>8</v>
      </c>
      <c r="H62" s="13">
        <f t="shared" si="52"/>
        <v>16</v>
      </c>
    </row>
    <row r="63" spans="1:8" x14ac:dyDescent="0.3">
      <c r="A63" s="12">
        <v>0.88541666666666796</v>
      </c>
      <c r="B63" s="13">
        <f>B62</f>
        <v>18</v>
      </c>
      <c r="C63" s="13">
        <f t="shared" ref="C63:H63" si="53">C62</f>
        <v>17</v>
      </c>
      <c r="D63" s="13">
        <f t="shared" si="53"/>
        <v>18</v>
      </c>
      <c r="E63" s="13">
        <f t="shared" si="53"/>
        <v>17</v>
      </c>
      <c r="F63" s="13">
        <f t="shared" si="53"/>
        <v>13</v>
      </c>
      <c r="G63" s="13">
        <f t="shared" si="53"/>
        <v>8</v>
      </c>
      <c r="H63" s="13">
        <f t="shared" si="53"/>
        <v>16</v>
      </c>
    </row>
    <row r="64" spans="1:8" x14ac:dyDescent="0.3">
      <c r="A64" s="12">
        <v>0.89583333333333404</v>
      </c>
      <c r="B64" s="13">
        <f>M35</f>
        <v>16</v>
      </c>
      <c r="C64" s="13">
        <f t="shared" ref="C64:H64" si="54">N35</f>
        <v>15</v>
      </c>
      <c r="D64" s="13">
        <f t="shared" si="54"/>
        <v>15</v>
      </c>
      <c r="E64" s="13">
        <f t="shared" si="54"/>
        <v>13</v>
      </c>
      <c r="F64" s="13">
        <f t="shared" si="54"/>
        <v>11</v>
      </c>
      <c r="G64" s="13">
        <f t="shared" si="54"/>
        <v>8</v>
      </c>
      <c r="H64" s="13">
        <f t="shared" si="54"/>
        <v>15</v>
      </c>
    </row>
    <row r="65" spans="1:8" x14ac:dyDescent="0.3">
      <c r="A65" s="12">
        <v>0.906250000000001</v>
      </c>
      <c r="B65" s="13">
        <f>B64</f>
        <v>16</v>
      </c>
      <c r="C65" s="13">
        <f t="shared" ref="C65:H65" si="55">C64</f>
        <v>15</v>
      </c>
      <c r="D65" s="13">
        <f t="shared" si="55"/>
        <v>15</v>
      </c>
      <c r="E65" s="13">
        <f t="shared" si="55"/>
        <v>13</v>
      </c>
      <c r="F65" s="13">
        <f t="shared" si="55"/>
        <v>11</v>
      </c>
      <c r="G65" s="13">
        <f t="shared" si="55"/>
        <v>8</v>
      </c>
      <c r="H65" s="13">
        <f t="shared" si="55"/>
        <v>15</v>
      </c>
    </row>
    <row r="66" spans="1:8" x14ac:dyDescent="0.3">
      <c r="A66" s="12">
        <v>0.91666666666666796</v>
      </c>
      <c r="B66" s="13">
        <f>M36</f>
        <v>10</v>
      </c>
      <c r="C66" s="13">
        <f t="shared" ref="C66:H66" si="56">N36</f>
        <v>12</v>
      </c>
      <c r="D66" s="13">
        <f t="shared" si="56"/>
        <v>11</v>
      </c>
      <c r="E66" s="13">
        <f t="shared" si="56"/>
        <v>11</v>
      </c>
      <c r="F66" s="13">
        <f t="shared" si="56"/>
        <v>8</v>
      </c>
      <c r="G66" s="13"/>
      <c r="H66" s="13">
        <f t="shared" si="56"/>
        <v>10</v>
      </c>
    </row>
    <row r="67" spans="1:8" x14ac:dyDescent="0.3">
      <c r="A67" s="12">
        <v>0.92708333333333504</v>
      </c>
      <c r="B67" s="13">
        <f>B66</f>
        <v>10</v>
      </c>
      <c r="C67" s="13">
        <f t="shared" ref="C67:H67" si="57">C66</f>
        <v>12</v>
      </c>
      <c r="D67" s="13">
        <f t="shared" si="57"/>
        <v>11</v>
      </c>
      <c r="E67" s="13">
        <f t="shared" si="57"/>
        <v>11</v>
      </c>
      <c r="F67" s="13">
        <f t="shared" si="57"/>
        <v>8</v>
      </c>
      <c r="G67" s="13"/>
      <c r="H67" s="13">
        <f t="shared" si="57"/>
        <v>10</v>
      </c>
    </row>
    <row r="68" spans="1:8" x14ac:dyDescent="0.3">
      <c r="A68" s="12">
        <v>0.937500000000001</v>
      </c>
      <c r="B68" s="13">
        <f>M37</f>
        <v>8</v>
      </c>
      <c r="C68" s="13">
        <f t="shared" ref="C68:H68" si="58">N37</f>
        <v>8</v>
      </c>
      <c r="D68" s="13">
        <f t="shared" si="58"/>
        <v>8</v>
      </c>
      <c r="E68" s="13">
        <f t="shared" si="58"/>
        <v>8</v>
      </c>
      <c r="F68" s="13">
        <f t="shared" si="58"/>
        <v>5</v>
      </c>
      <c r="G68" s="13"/>
      <c r="H68" s="13">
        <f t="shared" si="58"/>
        <v>7</v>
      </c>
    </row>
    <row r="69" spans="1:8" x14ac:dyDescent="0.3">
      <c r="A69" s="12">
        <v>0.94791666666666796</v>
      </c>
      <c r="B69" s="13">
        <f>B68</f>
        <v>8</v>
      </c>
      <c r="C69" s="13">
        <f t="shared" ref="C69:H69" si="59">C68</f>
        <v>8</v>
      </c>
      <c r="D69" s="13">
        <f t="shared" si="59"/>
        <v>8</v>
      </c>
      <c r="E69" s="13">
        <f t="shared" si="59"/>
        <v>8</v>
      </c>
      <c r="F69" s="13">
        <f t="shared" si="59"/>
        <v>5</v>
      </c>
      <c r="G69" s="13"/>
      <c r="H69" s="13">
        <f t="shared" si="59"/>
        <v>7</v>
      </c>
    </row>
    <row r="70" spans="1:8" x14ac:dyDescent="0.3">
      <c r="A70" s="12">
        <v>0.95833333333333504</v>
      </c>
      <c r="B70" s="13"/>
      <c r="C70" s="13"/>
      <c r="D70" s="13"/>
      <c r="E70" s="13"/>
      <c r="F70" s="13"/>
      <c r="G70" s="13"/>
      <c r="H70" s="13"/>
    </row>
    <row r="71" spans="1:8" x14ac:dyDescent="0.3">
      <c r="A71" s="12">
        <v>0.968750000000001</v>
      </c>
      <c r="B71" s="13"/>
      <c r="C71" s="13"/>
      <c r="D71" s="13"/>
      <c r="E71" s="13"/>
      <c r="F71" s="13"/>
      <c r="G71" s="13"/>
      <c r="H71" s="13"/>
    </row>
    <row r="72" spans="1:8" x14ac:dyDescent="0.3">
      <c r="A72" s="12">
        <v>0.97916666666666796</v>
      </c>
      <c r="B72" s="13"/>
      <c r="C72" s="13"/>
      <c r="D72" s="13"/>
      <c r="E72" s="13"/>
      <c r="F72" s="13"/>
      <c r="G72" s="13"/>
      <c r="H72" s="13"/>
    </row>
    <row r="73" spans="1:8" x14ac:dyDescent="0.3">
      <c r="A73" s="12">
        <v>0.98958333333333504</v>
      </c>
      <c r="B73" s="13"/>
      <c r="C73" s="13"/>
      <c r="D73" s="13"/>
      <c r="E73" s="13"/>
      <c r="F73" s="13"/>
      <c r="G73" s="13"/>
      <c r="H73" s="13"/>
    </row>
    <row r="74" spans="1:8" x14ac:dyDescent="0.3">
      <c r="A74" s="12">
        <v>1</v>
      </c>
      <c r="B74" s="13"/>
      <c r="C74" s="13"/>
      <c r="D74" s="13"/>
      <c r="E74" s="13"/>
      <c r="F74" s="13"/>
      <c r="G74" s="13"/>
      <c r="H74" s="13"/>
    </row>
    <row r="75" spans="1:8" x14ac:dyDescent="0.3">
      <c r="A75" s="12">
        <v>1.0104166666666701</v>
      </c>
      <c r="B75" s="13"/>
      <c r="C75" s="13"/>
      <c r="D75" s="13"/>
      <c r="E75" s="13"/>
      <c r="F75" s="13"/>
      <c r="G75" s="13"/>
      <c r="H75" s="13"/>
    </row>
    <row r="76" spans="1:8" x14ac:dyDescent="0.3">
      <c r="A76" s="12">
        <v>1.0208333333333399</v>
      </c>
      <c r="B76" s="13"/>
      <c r="C76" s="13"/>
      <c r="D76" s="13"/>
      <c r="E76" s="13"/>
      <c r="F76" s="13"/>
      <c r="G76" s="13"/>
      <c r="H76" s="13"/>
    </row>
    <row r="77" spans="1:8" x14ac:dyDescent="0.3">
      <c r="A77" s="12">
        <v>1.03125</v>
      </c>
      <c r="B77" s="13"/>
      <c r="C77" s="13"/>
      <c r="D77" s="13"/>
      <c r="E77" s="13"/>
      <c r="F77" s="13"/>
      <c r="G77" s="13"/>
      <c r="H77" s="13"/>
    </row>
    <row r="78" spans="1:8" x14ac:dyDescent="0.3">
      <c r="A78" s="12">
        <v>1.0416666666666701</v>
      </c>
      <c r="B78" s="13"/>
      <c r="C78" s="13"/>
      <c r="D78" s="13"/>
      <c r="E78" s="13"/>
      <c r="F78" s="13"/>
      <c r="G78" s="13"/>
      <c r="H78" s="13"/>
    </row>
    <row r="79" spans="1:8" x14ac:dyDescent="0.3">
      <c r="A79" s="12">
        <v>1.0520833333333399</v>
      </c>
      <c r="B79" s="13"/>
      <c r="C79" s="13"/>
      <c r="D79" s="13"/>
      <c r="E79" s="13"/>
      <c r="F79" s="13"/>
      <c r="G79" s="13"/>
      <c r="H79" s="13"/>
    </row>
    <row r="80" spans="1:8" x14ac:dyDescent="0.3">
      <c r="A80" s="12">
        <v>1.0625</v>
      </c>
      <c r="B80" s="13"/>
      <c r="C80" s="13"/>
      <c r="D80" s="13"/>
      <c r="E80" s="13"/>
      <c r="F80" s="13"/>
      <c r="G80" s="13"/>
      <c r="H80" s="13"/>
    </row>
    <row r="81" spans="1:8" x14ac:dyDescent="0.3">
      <c r="A81" s="12">
        <v>1.0729166666666701</v>
      </c>
      <c r="B81" s="13"/>
      <c r="C81" s="13"/>
      <c r="D81" s="13"/>
      <c r="E81" s="13"/>
      <c r="F81" s="13"/>
      <c r="G81" s="13"/>
      <c r="H81" s="13"/>
    </row>
    <row r="82" spans="1:8" x14ac:dyDescent="0.3">
      <c r="A82" s="12">
        <v>1.0833333333333399</v>
      </c>
      <c r="B82" s="13"/>
      <c r="C82" s="13"/>
      <c r="D82" s="13"/>
      <c r="E82" s="13"/>
      <c r="F82" s="13"/>
      <c r="G82" s="13"/>
      <c r="H82" s="13"/>
    </row>
    <row r="83" spans="1:8" x14ac:dyDescent="0.3">
      <c r="A83" s="12">
        <v>1.09375</v>
      </c>
      <c r="B83" s="13"/>
      <c r="C83" s="13"/>
      <c r="D83" s="13"/>
      <c r="E83" s="13"/>
      <c r="F83" s="13"/>
      <c r="G83" s="13"/>
      <c r="H83" s="13"/>
    </row>
    <row r="84" spans="1:8" x14ac:dyDescent="0.3">
      <c r="A84" s="12">
        <v>1.1041666666666701</v>
      </c>
      <c r="B84" s="13"/>
      <c r="C84" s="13"/>
      <c r="D84" s="13"/>
      <c r="E84" s="13"/>
      <c r="F84" s="13"/>
      <c r="G84" s="13"/>
      <c r="H84" s="13"/>
    </row>
    <row r="85" spans="1:8" x14ac:dyDescent="0.3">
      <c r="A85" s="12">
        <v>1.1145833333333399</v>
      </c>
      <c r="B85" s="13"/>
      <c r="C85" s="13"/>
      <c r="D85" s="13"/>
      <c r="E85" s="13"/>
      <c r="F85" s="13"/>
      <c r="G85" s="13"/>
      <c r="H85" s="13"/>
    </row>
    <row r="86" spans="1:8" x14ac:dyDescent="0.3">
      <c r="A86" s="12">
        <v>1.125</v>
      </c>
      <c r="B86" s="13"/>
      <c r="C86" s="13"/>
      <c r="D86" s="13"/>
      <c r="E86" s="13"/>
      <c r="F86" s="13"/>
      <c r="G86" s="13"/>
      <c r="H86" s="13"/>
    </row>
    <row r="87" spans="1:8" x14ac:dyDescent="0.3">
      <c r="A87" s="12">
        <v>1.1354166666666701</v>
      </c>
      <c r="B87" s="13"/>
      <c r="C87" s="13"/>
      <c r="D87" s="13"/>
      <c r="E87" s="13"/>
      <c r="F87" s="13"/>
      <c r="G87" s="13"/>
      <c r="H87" s="13"/>
    </row>
    <row r="88" spans="1:8" x14ac:dyDescent="0.3">
      <c r="A88" s="12">
        <v>1.1458333333333399</v>
      </c>
      <c r="B88" s="13"/>
      <c r="C88" s="13"/>
      <c r="D88" s="13"/>
      <c r="E88" s="13"/>
      <c r="F88" s="13"/>
      <c r="G88" s="13"/>
      <c r="H88" s="13"/>
    </row>
    <row r="89" spans="1:8" x14ac:dyDescent="0.3">
      <c r="A89" s="12">
        <v>1.15625</v>
      </c>
      <c r="B89" s="13"/>
      <c r="C89" s="13"/>
      <c r="D89" s="13"/>
      <c r="E89" s="13"/>
      <c r="F89" s="13"/>
      <c r="G89" s="13"/>
      <c r="H89" s="13"/>
    </row>
    <row r="90" spans="1:8" x14ac:dyDescent="0.3">
      <c r="A90" s="12">
        <v>1.1666666666666701</v>
      </c>
      <c r="B90" s="13"/>
      <c r="C90" s="13"/>
      <c r="D90" s="13"/>
      <c r="E90" s="13"/>
      <c r="F90" s="13"/>
      <c r="G90" s="13"/>
      <c r="H90" s="13"/>
    </row>
    <row r="91" spans="1:8" x14ac:dyDescent="0.3">
      <c r="A91" s="12">
        <v>1.1770833333333399</v>
      </c>
      <c r="B91" s="13"/>
      <c r="C91" s="13"/>
      <c r="D91" s="13"/>
      <c r="E91" s="13"/>
      <c r="F91" s="13"/>
      <c r="G91" s="13"/>
      <c r="H91" s="13"/>
    </row>
    <row r="92" spans="1:8" x14ac:dyDescent="0.3">
      <c r="A92" s="12">
        <v>1.1875</v>
      </c>
      <c r="B92" s="13"/>
      <c r="C92" s="13"/>
      <c r="D92" s="13"/>
      <c r="E92" s="13"/>
      <c r="F92" s="13"/>
      <c r="G92" s="13"/>
      <c r="H92" s="13"/>
    </row>
    <row r="93" spans="1:8" x14ac:dyDescent="0.3">
      <c r="A93" s="12">
        <v>1.1979166666666701</v>
      </c>
      <c r="B93" s="13"/>
      <c r="C93" s="13"/>
      <c r="D93" s="13"/>
      <c r="E93" s="13"/>
      <c r="F93" s="13"/>
      <c r="G93" s="13"/>
      <c r="H93" s="13"/>
    </row>
    <row r="94" spans="1:8" x14ac:dyDescent="0.3">
      <c r="A94" s="12">
        <v>1.2083333333333399</v>
      </c>
      <c r="B94" s="13"/>
      <c r="C94" s="13"/>
      <c r="D94" s="13"/>
      <c r="E94" s="13"/>
      <c r="F94" s="13"/>
      <c r="G94" s="13"/>
      <c r="H94" s="13"/>
    </row>
    <row r="95" spans="1:8" x14ac:dyDescent="0.3">
      <c r="A95" s="12">
        <v>1.21875</v>
      </c>
      <c r="B95" s="13"/>
      <c r="C95" s="13"/>
      <c r="D95" s="13"/>
      <c r="E95" s="13"/>
      <c r="F95" s="13"/>
      <c r="G95" s="13"/>
      <c r="H95" s="13"/>
    </row>
    <row r="96" spans="1:8" x14ac:dyDescent="0.3">
      <c r="A96" s="12">
        <v>1.2291666666666701</v>
      </c>
      <c r="B96" s="13"/>
      <c r="C96" s="13"/>
      <c r="D96" s="13"/>
      <c r="E96" s="13"/>
      <c r="F96" s="13"/>
      <c r="G96" s="13"/>
      <c r="H96" s="13"/>
    </row>
    <row r="97" spans="1:8" x14ac:dyDescent="0.3">
      <c r="A97" s="12">
        <v>1.2395833333333399</v>
      </c>
      <c r="B97" s="13"/>
      <c r="C97" s="13"/>
      <c r="D97" s="13"/>
      <c r="E97" s="13"/>
      <c r="F97" s="13"/>
      <c r="G97" s="13"/>
      <c r="H97" s="13"/>
    </row>
    <row r="98" spans="1:8" x14ac:dyDescent="0.3">
      <c r="B98" s="19">
        <f>SUM(B2:B97)</f>
        <v>1094</v>
      </c>
      <c r="C98" s="19">
        <f t="shared" ref="C98:H98" si="60">SUM(C2:C97)</f>
        <v>1090</v>
      </c>
      <c r="D98" s="19">
        <f t="shared" si="60"/>
        <v>1080</v>
      </c>
      <c r="E98" s="19">
        <f t="shared" si="60"/>
        <v>1052</v>
      </c>
      <c r="F98" s="19">
        <f t="shared" si="60"/>
        <v>922</v>
      </c>
      <c r="G98" s="19">
        <f t="shared" si="60"/>
        <v>494</v>
      </c>
      <c r="H98" s="19">
        <f t="shared" si="60"/>
        <v>1016</v>
      </c>
    </row>
  </sheetData>
  <phoneticPr fontId="12" type="noConversion"/>
  <conditionalFormatting sqref="B2:B97 C10:H69">
    <cfRule type="colorScale" priority="7">
      <colorScale>
        <cfvo type="min"/>
        <cfvo type="max"/>
        <color rgb="FFFFEF9C"/>
        <color rgb="FF63BE7B"/>
      </colorScale>
    </cfRule>
  </conditionalFormatting>
  <conditionalFormatting sqref="C2:C9 C70:C97">
    <cfRule type="colorScale" priority="6">
      <colorScale>
        <cfvo type="min"/>
        <cfvo type="max"/>
        <color rgb="FFFFEF9C"/>
        <color rgb="FF63BE7B"/>
      </colorScale>
    </cfRule>
  </conditionalFormatting>
  <conditionalFormatting sqref="D2:D9 D70:D97">
    <cfRule type="colorScale" priority="5">
      <colorScale>
        <cfvo type="min"/>
        <cfvo type="max"/>
        <color rgb="FFFFEF9C"/>
        <color rgb="FF63BE7B"/>
      </colorScale>
    </cfRule>
  </conditionalFormatting>
  <conditionalFormatting sqref="E2:E9 E70:E97">
    <cfRule type="colorScale" priority="4">
      <colorScale>
        <cfvo type="min"/>
        <cfvo type="max"/>
        <color rgb="FFFFEF9C"/>
        <color rgb="FF63BE7B"/>
      </colorScale>
    </cfRule>
  </conditionalFormatting>
  <conditionalFormatting sqref="F2:F9 F70:F97">
    <cfRule type="colorScale" priority="3">
      <colorScale>
        <cfvo type="min"/>
        <cfvo type="max"/>
        <color rgb="FFFFEF9C"/>
        <color rgb="FF63BE7B"/>
      </colorScale>
    </cfRule>
  </conditionalFormatting>
  <conditionalFormatting sqref="G2:G9 G70:G97">
    <cfRule type="colorScale" priority="2">
      <colorScale>
        <cfvo type="min"/>
        <cfvo type="max"/>
        <color rgb="FFFFEF9C"/>
        <color rgb="FF63BE7B"/>
      </colorScale>
    </cfRule>
  </conditionalFormatting>
  <conditionalFormatting sqref="H2:H9 H70:H9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Schedule</vt:lpstr>
      <vt:lpstr>swap</vt:lpstr>
      <vt:lpstr>filter</vt:lpstr>
      <vt:lpstr>Required</vt:lpstr>
      <vt:lpstr>Schedule!Print_Area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Salem (RCC)</dc:creator>
  <cp:lastModifiedBy>ahmed salah</cp:lastModifiedBy>
  <dcterms:created xsi:type="dcterms:W3CDTF">2020-09-18T12:40:01Z</dcterms:created>
  <dcterms:modified xsi:type="dcterms:W3CDTF">2025-04-03T20:12:05Z</dcterms:modified>
</cp:coreProperties>
</file>